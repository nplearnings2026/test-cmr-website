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min/Documents/Projects/CRM Dashboard/"/>
    </mc:Choice>
  </mc:AlternateContent>
  <xr:revisionPtr revIDLastSave="0" documentId="13_ncr:1_{F697F201-7208-3E44-8B8C-497525CF8A09}" xr6:coauthVersionLast="47" xr6:coauthVersionMax="47" xr10:uidLastSave="{00000000-0000-0000-0000-000000000000}"/>
  <bookViews>
    <workbookView xWindow="0" yWindow="660" windowWidth="34560" windowHeight="20100" activeTab="1" xr2:uid="{C005E244-5C81-C348-A43E-1BB1E3E5C771}"/>
  </bookViews>
  <sheets>
    <sheet name="Sheet3" sheetId="4" r:id="rId1"/>
    <sheet name="Query" sheetId="2" r:id="rId2"/>
    <sheet name="Sheet1" sheetId="1" r:id="rId3"/>
  </sheets>
  <definedNames>
    <definedName name="ExternalData_1" localSheetId="1" hidden="1">Query!$A$1:$AY$186</definedName>
  </definedNames>
  <calcPr calcId="18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87" i="2" l="1"/>
  <c r="AT187" i="2"/>
  <c r="AU187" i="2"/>
  <c r="AS187" i="2"/>
  <c r="AR187" i="2"/>
  <c r="AQ187" i="2"/>
  <c r="AP187" i="2"/>
  <c r="AO187" i="2"/>
  <c r="AN187" i="2"/>
  <c r="AG187" i="2"/>
  <c r="AF187" i="2"/>
  <c r="AD187" i="2"/>
  <c r="AC187" i="2"/>
  <c r="AB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AY18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C9B12-FC71-494F-AEAD-DF530F248F02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</connections>
</file>

<file path=xl/sharedStrings.xml><?xml version="1.0" encoding="utf-8"?>
<sst xmlns="http://schemas.openxmlformats.org/spreadsheetml/2006/main" count="248" uniqueCount="64">
  <si>
    <t>no</t>
  </si>
  <si>
    <t>date</t>
  </si>
  <si>
    <t>inwardqty</t>
  </si>
  <si>
    <t>inwardamount</t>
  </si>
  <si>
    <t>outwardqty</t>
  </si>
  <si>
    <t>outwardamount</t>
  </si>
  <si>
    <t>gummingroll</t>
  </si>
  <si>
    <t>gummingqty</t>
  </si>
  <si>
    <t>gummingamount</t>
  </si>
  <si>
    <t>slittingroll</t>
  </si>
  <si>
    <t>slittingqty</t>
  </si>
  <si>
    <t>slittingamount</t>
  </si>
  <si>
    <t>colorroll</t>
  </si>
  <si>
    <t>colorqty</t>
  </si>
  <si>
    <t>coloramount</t>
  </si>
  <si>
    <t>colorwastage</t>
  </si>
  <si>
    <t>diepunchqty</t>
  </si>
  <si>
    <t>diepunchamount</t>
  </si>
  <si>
    <t>readyrollroll</t>
  </si>
  <si>
    <t>readyrollpcs</t>
  </si>
  <si>
    <t>readyrollamount</t>
  </si>
  <si>
    <t>readyrollwastage</t>
  </si>
  <si>
    <t>readyrollwastageperpcs</t>
  </si>
  <si>
    <t>readyrollwastageperc</t>
  </si>
  <si>
    <t>sheetqty</t>
  </si>
  <si>
    <t>sheetamount</t>
  </si>
  <si>
    <t>sls_type</t>
  </si>
  <si>
    <t>sls_labelqty</t>
  </si>
  <si>
    <t>sls_labelamount</t>
  </si>
  <si>
    <t>sls_labelmfgcost</t>
  </si>
  <si>
    <t>sls_labelprfls</t>
  </si>
  <si>
    <t>sls_labelperaspercost</t>
  </si>
  <si>
    <t>sls_labelperaspersales</t>
  </si>
  <si>
    <t>sls_sheetqty</t>
  </si>
  <si>
    <t>sls_sheetamount</t>
  </si>
  <si>
    <t>sls_sheetmfgcost</t>
  </si>
  <si>
    <t>sls_sheetprfls</t>
  </si>
  <si>
    <t>sls_sheetperaspercost</t>
  </si>
  <si>
    <t>sls_sheetperaspersales</t>
  </si>
  <si>
    <t>sls_rollqty</t>
  </si>
  <si>
    <t>sls_rollamount</t>
  </si>
  <si>
    <t>sls_rollmfgcost</t>
  </si>
  <si>
    <t>sls_rollprfls</t>
  </si>
  <si>
    <t>sls_rollperaspercost</t>
  </si>
  <si>
    <t>sls_rollperaspersales</t>
  </si>
  <si>
    <t>sls_dsalesqty</t>
  </si>
  <si>
    <t>sls_dsalesamount</t>
  </si>
  <si>
    <t>sls_dsalesmfgcost</t>
  </si>
  <si>
    <t>sls_dsalesprfls</t>
  </si>
  <si>
    <t>sls_dsalesperaspercost</t>
  </si>
  <si>
    <t>sls_dsalesperaspersales</t>
  </si>
  <si>
    <t>SALES</t>
  </si>
  <si>
    <t>Row Labels</t>
  </si>
  <si>
    <t>Grand Total</t>
  </si>
  <si>
    <t>Sum of inwardqty</t>
  </si>
  <si>
    <t>Sum of inwardamount</t>
  </si>
  <si>
    <t>Jan</t>
  </si>
  <si>
    <t>Feb</t>
  </si>
  <si>
    <t>Mar</t>
  </si>
  <si>
    <t>Apr</t>
  </si>
  <si>
    <t>May</t>
  </si>
  <si>
    <t>Jun</t>
  </si>
  <si>
    <t>Jul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</si>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</sst>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min" refreshedDate="46207.965714467595" createdVersion="8" refreshedVersion="8" minRefreshableVersion="3" recordCount="185" xr:uid="{1D48A633-8B36-AA4F-ABE5-7AC17BEA1B01}">
  <cacheSource type="worksheet">
    <worksheetSource name="Query"/>
  </cacheSource>
  <cacheFields count="53">
    <cacheField name="no" numFmtId="0">
      <sharedItems containsSemiMixedTypes="0" containsString="0" containsNumber="1" containsInteger="1" minValue="1" maxValue="185"/>
    </cacheField>
    <cacheField name="date" numFmtId="14">
      <sharedItems containsSemiMixedTypes="0" containsNonDate="0" containsDate="1" containsString="0" minDate="2026-01-01T00:00:00" maxDate="2026-07-05T00:00:00" count="18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</sharedItems>
      <fieldGroup par="52"/>
    </cacheField>
    <cacheField name="inwardqty" numFmtId="0">
      <sharedItems containsBlank="1"/>
    </cacheField>
    <cacheField name="inwardamount" numFmtId="0">
      <sharedItems containsBlank="1"/>
    </cacheField>
    <cacheField name="outwardqty" numFmtId="0">
      <sharedItems containsSemiMixedTypes="0" containsString="0" containsNumber="1" minValue="0" maxValue="173461"/>
    </cacheField>
    <cacheField name="outwardamount" numFmtId="0">
      <sharedItems containsSemiMixedTypes="0" containsString="0" containsNumber="1" minValue="0" maxValue="978705.03960000002"/>
    </cacheField>
    <cacheField name="gummingroll" numFmtId="0">
      <sharedItems containsBlank="1"/>
    </cacheField>
    <cacheField name="gummingqty" numFmtId="0">
      <sharedItems containsBlank="1"/>
    </cacheField>
    <cacheField name="gummingamount" numFmtId="0">
      <sharedItems containsBlank="1"/>
    </cacheField>
    <cacheField name="slittingroll" numFmtId="0">
      <sharedItems containsBlank="1"/>
    </cacheField>
    <cacheField name="slittingqty" numFmtId="0">
      <sharedItems containsBlank="1"/>
    </cacheField>
    <cacheField name="slittingamount" numFmtId="0">
      <sharedItems containsBlank="1"/>
    </cacheField>
    <cacheField name="colorroll" numFmtId="0">
      <sharedItems containsBlank="1"/>
    </cacheField>
    <cacheField name="colorqty" numFmtId="0">
      <sharedItems containsBlank="1"/>
    </cacheField>
    <cacheField name="coloramount" numFmtId="0">
      <sharedItems containsBlank="1"/>
    </cacheField>
    <cacheField name="colorwastage" numFmtId="0">
      <sharedItems containsBlank="1"/>
    </cacheField>
    <cacheField name="diepunchqty" numFmtId="0">
      <sharedItems containsBlank="1"/>
    </cacheField>
    <cacheField name="diepunchamount" numFmtId="0">
      <sharedItems containsBlank="1"/>
    </cacheField>
    <cacheField name="readyrollroll" numFmtId="0">
      <sharedItems containsBlank="1"/>
    </cacheField>
    <cacheField name="readyrollpcs" numFmtId="0">
      <sharedItems containsBlank="1"/>
    </cacheField>
    <cacheField name="readyrollamount" numFmtId="0">
      <sharedItems containsBlank="1"/>
    </cacheField>
    <cacheField name="readyrollwastage" numFmtId="0">
      <sharedItems containsSemiMixedTypes="0" containsString="0" containsNumber="1" containsInteger="1" minValue="-52050" maxValue="138860"/>
    </cacheField>
    <cacheField name="readyrollwastageperpcs" numFmtId="0">
      <sharedItems containsSemiMixedTypes="0" containsString="0" containsNumber="1" minValue="0" maxValue="22.42"/>
    </cacheField>
    <cacheField name="readyrollwastageperc" numFmtId="0">
      <sharedItems containsSemiMixedTypes="0" containsString="0" containsNumber="1" minValue="0" maxValue="35.44"/>
    </cacheField>
    <cacheField name="sheetqty" numFmtId="0">
      <sharedItems containsNonDate="0" containsString="0" containsBlank="1"/>
    </cacheField>
    <cacheField name="sheetamount" numFmtId="0">
      <sharedItems containsNonDate="0" containsString="0" containsBlank="1"/>
    </cacheField>
    <cacheField name="sls_type" numFmtId="0">
      <sharedItems/>
    </cacheField>
    <cacheField name="sls_labelqty" numFmtId="0">
      <sharedItems containsSemiMixedTypes="0" containsString="0" containsNumber="1" containsInteger="1" minValue="0" maxValue="5697500"/>
    </cacheField>
    <cacheField name="sls_labelamount" numFmtId="0">
      <sharedItems containsSemiMixedTypes="0" containsString="0" containsNumber="1" minValue="0" maxValue="807138"/>
    </cacheField>
    <cacheField name="sls_labelmfgcost" numFmtId="0">
      <sharedItems containsSemiMixedTypes="0" containsString="0" containsNumber="1" minValue="0" maxValue="378332.81465000007"/>
    </cacheField>
    <cacheField name="sls_labelprfls" numFmtId="0">
      <sharedItems containsSemiMixedTypes="0" containsString="0" containsNumber="1" minValue="-49075.662599999981" maxValue="428805.18534999993"/>
    </cacheField>
    <cacheField name="sls_labelperaspercost" numFmtId="0">
      <sharedItems containsSemiMixedTypes="0" containsString="0" containsNumber="1" minValue="0" maxValue="317.12964834429795"/>
    </cacheField>
    <cacheField name="sls_labelperaspersales" numFmtId="0">
      <sharedItems containsSemiMixedTypes="0" containsString="0" containsNumber="1" minValue="0" maxValue="76.026638145495667"/>
    </cacheField>
    <cacheField name="sls_sheetqty" numFmtId="0">
      <sharedItems containsSemiMixedTypes="0" containsString="0" containsNumber="1" containsInteger="1" minValue="0" maxValue="0"/>
    </cacheField>
    <cacheField name="sls_sheetamount" numFmtId="0">
      <sharedItems containsSemiMixedTypes="0" containsString="0" containsNumber="1" containsInteger="1" minValue="0" maxValue="0"/>
    </cacheField>
    <cacheField name="sls_sheetmfgcost" numFmtId="0">
      <sharedItems containsSemiMixedTypes="0" containsString="0" containsNumber="1" containsInteger="1" minValue="0" maxValue="0"/>
    </cacheField>
    <cacheField name="sls_sheetprfls" numFmtId="0">
      <sharedItems containsSemiMixedTypes="0" containsString="0" containsNumber="1" containsInteger="1" minValue="0" maxValue="0"/>
    </cacheField>
    <cacheField name="sls_sheetperaspercost" numFmtId="0">
      <sharedItems containsSemiMixedTypes="0" containsString="0" containsNumber="1" containsInteger="1" minValue="0" maxValue="0"/>
    </cacheField>
    <cacheField name="sls_sheetperaspersales" numFmtId="0">
      <sharedItems containsSemiMixedTypes="0" containsString="0" containsNumber="1" containsInteger="1" minValue="0" maxValue="0"/>
    </cacheField>
    <cacheField name="sls_rollqty" numFmtId="0">
      <sharedItems containsSemiMixedTypes="0" containsString="0" containsNumber="1" minValue="0" maxValue="34940.560000000041"/>
    </cacheField>
    <cacheField name="sls_rollamount" numFmtId="0">
      <sharedItems containsSemiMixedTypes="0" containsString="0" containsNumber="1" minValue="0" maxValue="812731.03999999899"/>
    </cacheField>
    <cacheField name="sls_rollmfgcost" numFmtId="0">
      <sharedItems containsSemiMixedTypes="0" containsString="0" containsNumber="1" minValue="0" maxValue="653183.97700000019"/>
    </cacheField>
    <cacheField name="sls_rollprfls" numFmtId="0">
      <sharedItems containsSemiMixedTypes="0" containsString="0" containsNumber="1" minValue="-122775.34299999994" maxValue="159547.0629999988"/>
    </cacheField>
    <cacheField name="sls_rollperaspercost" numFmtId="0">
      <sharedItems containsSemiMixedTypes="0" containsString="0" containsNumber="1" minValue="0" maxValue="51.805034553747078"/>
    </cacheField>
    <cacheField name="sls_rollperaspersales" numFmtId="0">
      <sharedItems containsSemiMixedTypes="0" containsString="0" containsNumber="1" minValue="0" maxValue="34.126031923799822"/>
    </cacheField>
    <cacheField name="sls_dsalesqty" numFmtId="0">
      <sharedItems containsSemiMixedTypes="0" containsString="0" containsNumber="1" minValue="0" maxValue="352011"/>
    </cacheField>
    <cacheField name="sls_dsalesamount" numFmtId="0">
      <sharedItems containsSemiMixedTypes="0" containsString="0" containsNumber="1" minValue="0" maxValue="353304"/>
    </cacheField>
    <cacheField name="sls_dsalesmfgcost" numFmtId="0">
      <sharedItems containsSemiMixedTypes="0" containsString="0" containsNumber="1" minValue="0" maxValue="349060.2"/>
    </cacheField>
    <cacheField name="sls_dsalesprfls" numFmtId="0">
      <sharedItems containsSemiMixedTypes="0" containsString="0" containsNumber="1" minValue="-16890.72" maxValue="148705.75"/>
    </cacheField>
    <cacheField name="sls_dsalesperaspercost" numFmtId="0">
      <sharedItems containsSemiMixedTypes="0" containsString="0" containsNumber="1" minValue="0" maxValue="1215.6462585034012"/>
    </cacheField>
    <cacheField name="sls_dsalesperaspersales" numFmtId="0">
      <sharedItems containsSemiMixedTypes="0" containsString="0" containsNumber="1" minValue="0" maxValue="100"/>
    </cacheField>
    <cacheField name="Days (date)" numFmtId="0" databaseField="0">
      <fieldGroup base="1">
        <rangePr groupBy="days" startDate="2026-01-01T00:00:00" endDate="2026-07-05T00:00:00"/>
        <groupItems count="368">
          <s v="&lt;1/1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5/26"/>
        </groupItems>
      </fieldGroup>
    </cacheField>
    <cacheField name="Months (date)" numFmtId="0" databaseField="0">
      <fieldGroup base="1">
        <rangePr groupBy="months" startDate="2026-01-01T00:00:00" endDate="2026-07-05T00:00:00"/>
        <groupItems count="14">
          <s v="&lt;1/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5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1"/>
    <x v="0"/>
    <s v="4735.00"/>
    <s v="393005.00"/>
    <n v="0"/>
    <n v="0"/>
    <m/>
    <m/>
    <m/>
    <s v="62"/>
    <s v="79215"/>
    <s v="201557"/>
    <s v="7"/>
    <s v="11145"/>
    <s v="37967"/>
    <s v="58"/>
    <s v="14"/>
    <s v="60605"/>
    <s v="541"/>
    <s v="1759258"/>
    <s v="122811"/>
    <n v="0"/>
    <n v="0"/>
    <n v="4.88"/>
    <m/>
    <m/>
    <s v="SALES"/>
    <n v="1265810"/>
    <n v="145918.38999999998"/>
    <n v="110023.849305"/>
    <n v="35894.540694999989"/>
    <n v="32.62432729061841"/>
    <n v="24.599052042035272"/>
    <n v="0"/>
    <n v="0"/>
    <n v="0"/>
    <n v="0"/>
    <n v="0"/>
    <n v="0"/>
    <n v="3174.4800000000005"/>
    <n v="68463.979999999981"/>
    <n v="61405.929999999993"/>
    <n v="7058.0499999999884"/>
    <n v="11.494085343223349"/>
    <n v="10.309143581778317"/>
    <n v="167072"/>
    <n v="55905.2"/>
    <n v="0"/>
    <n v="55905.2"/>
    <n v="0"/>
    <n v="100"/>
  </r>
  <r>
    <n v="2"/>
    <x v="1"/>
    <m/>
    <m/>
    <n v="941"/>
    <n v="134870.39999999999"/>
    <s v="8"/>
    <s v="31750"/>
    <s v="305117"/>
    <s v="28"/>
    <s v="37528"/>
    <s v="147648"/>
    <s v="11"/>
    <s v="12410"/>
    <s v="25993"/>
    <s v="160"/>
    <s v="18"/>
    <s v="60257"/>
    <s v="420"/>
    <s v="534610"/>
    <s v="59531"/>
    <n v="0"/>
    <n v="0"/>
    <n v="10.19"/>
    <m/>
    <m/>
    <s v="SALES"/>
    <n v="955330"/>
    <n v="132739.39999999997"/>
    <n v="80359.909359999991"/>
    <n v="52379.490639999975"/>
    <n v="65.181122100757904"/>
    <n v="39.460394306438019"/>
    <n v="0"/>
    <n v="0"/>
    <n v="0"/>
    <n v="0"/>
    <n v="0"/>
    <n v="0"/>
    <n v="6167.15"/>
    <n v="137221.76000000001"/>
    <n v="116059.27000000002"/>
    <n v="21162.489999999991"/>
    <n v="18.234209124355157"/>
    <n v="15.422109438036641"/>
    <n v="550"/>
    <n v="15950"/>
    <n v="0"/>
    <n v="15950"/>
    <n v="0"/>
    <n v="100"/>
  </r>
  <r>
    <n v="3"/>
    <x v="2"/>
    <m/>
    <m/>
    <n v="2105"/>
    <n v="238464.44"/>
    <s v="8"/>
    <s v="31650"/>
    <s v="286362"/>
    <s v="80"/>
    <s v="110330"/>
    <s v="301126"/>
    <s v="7"/>
    <s v="10450"/>
    <s v="34027"/>
    <s v="40"/>
    <s v="21"/>
    <s v="60677"/>
    <s v="738"/>
    <s v="877540"/>
    <s v="93083"/>
    <n v="2000"/>
    <n v="0.19"/>
    <n v="4.54"/>
    <m/>
    <m/>
    <s v="SALES"/>
    <n v="897875"/>
    <n v="107263.79"/>
    <n v="64228.38235"/>
    <n v="43035.407649999994"/>
    <n v="67.003723393634544"/>
    <n v="40.121095525339904"/>
    <n v="0"/>
    <n v="0"/>
    <n v="0"/>
    <n v="0"/>
    <n v="0"/>
    <n v="0"/>
    <n v="585.20000000000005"/>
    <n v="12874.4"/>
    <n v="10834.16"/>
    <n v="2040.24"/>
    <n v="18.831547623442887"/>
    <n v="15.847262785061828"/>
    <n v="252"/>
    <n v="26884"/>
    <n v="0"/>
    <n v="26884"/>
    <n v="0"/>
    <n v="100"/>
  </r>
  <r>
    <n v="4"/>
    <x v="3"/>
    <m/>
    <m/>
    <n v="2235.4"/>
    <n v="265192.97600000002"/>
    <s v="4"/>
    <s v="15330"/>
    <s v="146388"/>
    <m/>
    <m/>
    <m/>
    <s v="1"/>
    <s v="1380"/>
    <s v="3104"/>
    <s v="20"/>
    <s v="1"/>
    <s v="2448"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"/>
    <x v="4"/>
    <m/>
    <m/>
    <n v="3789"/>
    <n v="420384.6"/>
    <s v="10"/>
    <s v="38220"/>
    <s v="352317"/>
    <s v="82"/>
    <s v="122495"/>
    <s v="293656"/>
    <s v="7"/>
    <s v="7795"/>
    <s v="35713"/>
    <s v="65"/>
    <s v="23"/>
    <s v="50677"/>
    <s v="430"/>
    <s v="978000"/>
    <s v="33716"/>
    <n v="0"/>
    <n v="0"/>
    <n v="2.0699999999999998"/>
    <m/>
    <m/>
    <s v="SALES"/>
    <n v="200000"/>
    <n v="41800"/>
    <n v="30097.892"/>
    <n v="11702.108"/>
    <n v="38.88015811871476"/>
    <n v="27.995473684210527"/>
    <n v="0"/>
    <n v="0"/>
    <n v="0"/>
    <n v="0"/>
    <n v="0"/>
    <n v="0"/>
    <n v="25125.379999999994"/>
    <n v="570585.36999999988"/>
    <n v="481985.68099999987"/>
    <n v="88599.689000000013"/>
    <n v="18.382224305124129"/>
    <n v="15.527858521854499"/>
    <n v="0"/>
    <n v="0"/>
    <n v="0"/>
    <n v="0"/>
    <n v="0"/>
    <n v="0"/>
  </r>
  <r>
    <n v="6"/>
    <x v="5"/>
    <s v="404.00"/>
    <s v="53883.00"/>
    <n v="954.7"/>
    <n v="137144.37599999999"/>
    <s v="8"/>
    <s v="10210"/>
    <s v="69836"/>
    <s v="45"/>
    <s v="63180"/>
    <s v="191151"/>
    <s v="13"/>
    <s v="16781"/>
    <s v="63599"/>
    <s v="969"/>
    <s v="15"/>
    <s v="48585"/>
    <s v="386"/>
    <s v="1203505"/>
    <s v="85626"/>
    <n v="0"/>
    <n v="0"/>
    <n v="7.41"/>
    <m/>
    <m/>
    <s v="SALES"/>
    <n v="1120350"/>
    <n v="52148.2"/>
    <n v="41289.495179999998"/>
    <n v="10858.704820000001"/>
    <n v="26.298952730378232"/>
    <n v="20.82277973161106"/>
    <n v="0"/>
    <n v="0"/>
    <n v="0"/>
    <n v="0"/>
    <n v="0"/>
    <n v="0"/>
    <n v="9453.65"/>
    <n v="224322.95"/>
    <n v="187671.56"/>
    <n v="36651.390000000014"/>
    <n v="19.529538732453663"/>
    <n v="16.338671544752785"/>
    <n v="3000"/>
    <n v="7500"/>
    <n v="0"/>
    <n v="7500"/>
    <n v="0"/>
    <n v="100"/>
  </r>
  <r>
    <n v="7"/>
    <x v="6"/>
    <m/>
    <m/>
    <n v="47403.48"/>
    <n v="90002.58"/>
    <s v="7"/>
    <s v="13080"/>
    <s v="118015"/>
    <s v="25"/>
    <s v="33385"/>
    <s v="129985"/>
    <s v="12"/>
    <s v="14740"/>
    <s v="51389"/>
    <s v="145"/>
    <s v="12"/>
    <s v="58045"/>
    <s v="416"/>
    <s v="1921217"/>
    <s v="92429"/>
    <n v="0"/>
    <n v="0"/>
    <n v="5.34"/>
    <m/>
    <m/>
    <s v="SALES"/>
    <n v="1148190"/>
    <n v="201843.77"/>
    <n v="135867.99242"/>
    <n v="65975.777579999994"/>
    <n v="48.558734404533858"/>
    <n v="32.686556330175556"/>
    <n v="0"/>
    <n v="0"/>
    <n v="0"/>
    <n v="0"/>
    <n v="0"/>
    <n v="0"/>
    <n v="3385.4800000000005"/>
    <n v="94793.44"/>
    <n v="81605.350000000006"/>
    <n v="13188.089999999997"/>
    <n v="16.160815436733003"/>
    <n v="13.91245005983536"/>
    <n v="47058"/>
    <n v="10881.6"/>
    <n v="940.8"/>
    <n v="9940.7999999999993"/>
    <n v="1056.6326530612246"/>
    <n v="91.354212615791795"/>
  </r>
  <r>
    <n v="8"/>
    <x v="7"/>
    <s v="9526.00"/>
    <s v="1371744.00"/>
    <n v="1377.87"/>
    <n v="298116.76999999996"/>
    <s v="6"/>
    <s v="22580"/>
    <s v="271733"/>
    <s v="57"/>
    <s v="72450"/>
    <s v="183187"/>
    <s v="16"/>
    <s v="21430"/>
    <s v="79264"/>
    <s v="125"/>
    <s v="8"/>
    <s v="23449"/>
    <s v="389"/>
    <s v="1087591"/>
    <s v="88076"/>
    <n v="0"/>
    <n v="0"/>
    <n v="5.43"/>
    <m/>
    <m/>
    <s v="SALES"/>
    <n v="479001"/>
    <n v="76185.930000000008"/>
    <n v="63476.230988000003"/>
    <n v="12709.699012000012"/>
    <n v="20.02276886036719"/>
    <n v="16.682475375702587"/>
    <n v="0"/>
    <n v="0"/>
    <n v="0"/>
    <n v="0"/>
    <n v="0"/>
    <n v="0"/>
    <n v="537.09"/>
    <n v="14501.04"/>
    <n v="12652.184999999999"/>
    <n v="1848.8549999999996"/>
    <n v="14.612930493823789"/>
    <n v="12.749809668823749"/>
    <n v="1070.48"/>
    <n v="29875.96"/>
    <n v="0"/>
    <n v="29875.96"/>
    <n v="0"/>
    <n v="100"/>
  </r>
  <r>
    <n v="9"/>
    <x v="8"/>
    <m/>
    <m/>
    <n v="15"/>
    <n v="7316.25"/>
    <m/>
    <m/>
    <m/>
    <s v="33"/>
    <s v="38940"/>
    <s v="104756"/>
    <s v="12"/>
    <s v="16680"/>
    <s v="56168"/>
    <s v="180"/>
    <s v="8"/>
    <s v="26436"/>
    <s v="200"/>
    <s v="892384"/>
    <s v="60956"/>
    <n v="10712"/>
    <n v="1.1200000000000001"/>
    <n v="5.97"/>
    <m/>
    <m/>
    <s v="SALES"/>
    <n v="4289083"/>
    <n v="185712.76"/>
    <n v="126193.39832199999"/>
    <n v="59519.361677999972"/>
    <n v="47.16519443127131"/>
    <n v="32.049150353481352"/>
    <n v="0"/>
    <n v="0"/>
    <n v="0"/>
    <n v="0"/>
    <n v="0"/>
    <n v="0"/>
    <n v="9724.16"/>
    <n v="223907.65999999989"/>
    <n v="195683.98000000004"/>
    <n v="28223.679999999847"/>
    <n v="14.423091762544814"/>
    <n v="12.605053351010795"/>
    <n v="756.5"/>
    <n v="20541.5"/>
    <n v="0"/>
    <n v="20541.5"/>
    <n v="0"/>
    <n v="100"/>
  </r>
  <r>
    <n v="10"/>
    <x v="9"/>
    <s v="7104.00"/>
    <s v="589632.00"/>
    <n v="76"/>
    <n v="13455.000000000002"/>
    <m/>
    <m/>
    <m/>
    <s v="90"/>
    <s v="123850"/>
    <s v="325265"/>
    <s v="19"/>
    <s v="28875"/>
    <s v="72259"/>
    <s v="310"/>
    <s v="3"/>
    <s v="10602"/>
    <s v="179"/>
    <s v="500230"/>
    <s v="44045"/>
    <n v="0"/>
    <n v="0"/>
    <n v="8.9499999999999993"/>
    <m/>
    <m/>
    <s v="SALES"/>
    <n v="871520"/>
    <n v="144456.03"/>
    <n v="97956.125379999998"/>
    <n v="46499.904620000001"/>
    <n v="47.470134654278631"/>
    <n v="32.189659801671141"/>
    <n v="0"/>
    <n v="0"/>
    <n v="0"/>
    <n v="0"/>
    <n v="0"/>
    <n v="0"/>
    <n v="6383.5100000000011"/>
    <n v="135827.91999999998"/>
    <n v="120535.97800000002"/>
    <n v="15291.941999999966"/>
    <n v="12.686620421331764"/>
    <n v="11.258320086179609"/>
    <n v="505.6"/>
    <n v="18962.199999999997"/>
    <n v="0"/>
    <n v="18962.199999999997"/>
    <n v="0"/>
    <n v="100"/>
  </r>
  <r>
    <n v="11"/>
    <x v="10"/>
    <m/>
    <m/>
    <n v="821"/>
    <n v="130827.91999999998"/>
    <s v="4"/>
    <s v="16100"/>
    <s v="148280"/>
    <m/>
    <m/>
    <m/>
    <s v="7"/>
    <s v="7960"/>
    <s v="28576"/>
    <s v="0"/>
    <m/>
    <m/>
    <s v="39"/>
    <s v="447200"/>
    <s v="23533"/>
    <n v="0"/>
    <n v="0"/>
    <n v="3.49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x v="11"/>
    <s v="171000.00"/>
    <s v="57579.75"/>
    <n v="173461"/>
    <n v="326562.28000000003"/>
    <s v="9"/>
    <s v="36770"/>
    <s v="351081"/>
    <s v="52"/>
    <s v="70330"/>
    <s v="186265"/>
    <s v="19"/>
    <s v="21870"/>
    <s v="66663"/>
    <s v="310"/>
    <s v="10"/>
    <s v="38255"/>
    <s v="386"/>
    <s v="1362275"/>
    <s v="88667"/>
    <n v="0"/>
    <n v="0"/>
    <n v="4.3099999999999996"/>
    <m/>
    <m/>
    <s v="SALES"/>
    <n v="902850"/>
    <n v="102496.79"/>
    <n v="49268.921020000002"/>
    <n v="53227.868979999992"/>
    <n v="108.03538595536304"/>
    <n v="51.931254608071129"/>
    <n v="0"/>
    <n v="0"/>
    <n v="0"/>
    <n v="0"/>
    <n v="0"/>
    <n v="0"/>
    <n v="1678.0500000000002"/>
    <n v="38595.15"/>
    <n v="31743.040000000001"/>
    <n v="6852.1100000000006"/>
    <n v="21.586180781676862"/>
    <n v="17.753811035842588"/>
    <n v="171600.24"/>
    <n v="40709.279999999999"/>
    <n v="57600"/>
    <n v="-16890.72"/>
    <n v="0"/>
    <n v="0"/>
  </r>
  <r>
    <n v="13"/>
    <x v="12"/>
    <s v="500.00"/>
    <s v="11690.00"/>
    <n v="711.24"/>
    <n v="141155.03"/>
    <s v="6"/>
    <s v="21640"/>
    <s v="250917"/>
    <s v="12"/>
    <s v="22480"/>
    <s v="66025"/>
    <s v="2"/>
    <s v="3480"/>
    <s v="19638"/>
    <s v="0"/>
    <s v="2"/>
    <s v="3237"/>
    <s v="92"/>
    <s v="357025"/>
    <s v="47447"/>
    <n v="0"/>
    <n v="0"/>
    <n v="6.29"/>
    <m/>
    <m/>
    <s v="SALES"/>
    <n v="718300"/>
    <n v="93620.3"/>
    <n v="50488.584100000007"/>
    <n v="43131.715900000003"/>
    <n v="85.428650196589658"/>
    <n v="46.070901182756295"/>
    <n v="0"/>
    <n v="0"/>
    <n v="0"/>
    <n v="0"/>
    <n v="0"/>
    <n v="0"/>
    <n v="3545.25"/>
    <n v="77573.63"/>
    <n v="64988.455000000009"/>
    <n v="12585.174999999996"/>
    <n v="19.365247258147612"/>
    <n v="16.223522091205471"/>
    <n v="1"/>
    <n v="800"/>
    <n v="0"/>
    <n v="800"/>
    <n v="0"/>
    <n v="100"/>
  </r>
  <r>
    <n v="14"/>
    <x v="13"/>
    <m/>
    <m/>
    <n v="0"/>
    <n v="0"/>
    <m/>
    <m/>
    <m/>
    <m/>
    <m/>
    <m/>
    <m/>
    <m/>
    <m/>
    <m/>
    <s v="2"/>
    <s v="2601"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x v="14"/>
    <m/>
    <m/>
    <n v="0"/>
    <n v="0"/>
    <m/>
    <m/>
    <m/>
    <m/>
    <m/>
    <m/>
    <m/>
    <m/>
    <m/>
    <m/>
    <m/>
    <m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"/>
    <x v="15"/>
    <s v="1232.36"/>
    <s v="338899.00"/>
    <n v="1445"/>
    <n v="275224.91000000003"/>
    <s v="7"/>
    <s v="20700"/>
    <s v="250056"/>
    <s v="9"/>
    <s v="11790"/>
    <s v="25196"/>
    <s v="3"/>
    <s v="5558"/>
    <s v="35314"/>
    <s v="130"/>
    <s v="4"/>
    <s v="17323"/>
    <s v="387"/>
    <s v="1300012"/>
    <s v="39496"/>
    <n v="0"/>
    <n v="0"/>
    <n v="6.07"/>
    <m/>
    <m/>
    <s v="SALES"/>
    <n v="949700"/>
    <n v="85048.5"/>
    <n v="48244.350200000001"/>
    <n v="36804.149799999999"/>
    <n v="76.286963442198044"/>
    <n v="43.274307953697011"/>
    <n v="0"/>
    <n v="0"/>
    <n v="0"/>
    <n v="0"/>
    <n v="0"/>
    <n v="0"/>
    <n v="5291.3200000000006"/>
    <n v="116409.04000000002"/>
    <n v="98698.539999999979"/>
    <n v="17710.500000000044"/>
    <n v="17.944034430499222"/>
    <n v="15.214024615270464"/>
    <n v="0"/>
    <n v="0"/>
    <n v="0"/>
    <n v="0"/>
    <n v="0"/>
    <n v="0"/>
  </r>
  <r>
    <n v="17"/>
    <x v="16"/>
    <m/>
    <m/>
    <n v="3417"/>
    <n v="337781"/>
    <s v="8"/>
    <s v="28100"/>
    <s v="276222"/>
    <s v="17"/>
    <s v="26076"/>
    <s v="91901"/>
    <s v="9"/>
    <s v="17720"/>
    <s v="55775"/>
    <s v="213"/>
    <s v="14"/>
    <s v="68981"/>
    <s v="432"/>
    <s v="1071080"/>
    <s v="80140"/>
    <n v="0"/>
    <n v="0"/>
    <n v="1.67"/>
    <m/>
    <m/>
    <s v="SALES"/>
    <n v="599250"/>
    <n v="60370"/>
    <n v="48593.927939999994"/>
    <n v="11776.072060000006"/>
    <n v="24.233628684102641"/>
    <n v="19.506496703660769"/>
    <n v="0"/>
    <n v="0"/>
    <n v="0"/>
    <n v="0"/>
    <n v="0"/>
    <n v="0"/>
    <n v="796.8"/>
    <n v="16732.8"/>
    <n v="14249.600000000002"/>
    <n v="2483.1999999999971"/>
    <n v="17.426454075903862"/>
    <n v="14.840313635494343"/>
    <n v="1"/>
    <n v="750"/>
    <n v="0"/>
    <n v="750"/>
    <n v="0"/>
    <n v="100"/>
  </r>
  <r>
    <n v="18"/>
    <x v="17"/>
    <m/>
    <m/>
    <n v="0"/>
    <n v="0"/>
    <m/>
    <m/>
    <m/>
    <m/>
    <m/>
    <m/>
    <m/>
    <m/>
    <m/>
    <m/>
    <m/>
    <m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"/>
    <x v="18"/>
    <s v="11200.00"/>
    <s v="5600.00"/>
    <n v="11372.25"/>
    <n v="49629.55"/>
    <m/>
    <m/>
    <m/>
    <s v="92"/>
    <s v="137155"/>
    <s v="329424"/>
    <s v="10"/>
    <s v="15740"/>
    <s v="53196"/>
    <s v="98"/>
    <s v="14"/>
    <s v="50457"/>
    <s v="347"/>
    <s v="865155"/>
    <s v="49935"/>
    <n v="0"/>
    <n v="0"/>
    <n v="9.9700000000000006"/>
    <m/>
    <m/>
    <s v="SALES"/>
    <n v="1406520"/>
    <n v="95941.02"/>
    <n v="81603.040959999984"/>
    <n v="14337.97904000002"/>
    <n v="17.570397954934279"/>
    <n v="14.944576407463687"/>
    <n v="0"/>
    <n v="0"/>
    <n v="0"/>
    <n v="0"/>
    <n v="0"/>
    <n v="0"/>
    <n v="10989.93"/>
    <n v="241778.46"/>
    <n v="207162.62"/>
    <n v="34615.839999999997"/>
    <n v="16.709500970783242"/>
    <n v="14.317172836653851"/>
    <n v="12200.45"/>
    <n v="74725.049999999988"/>
    <n v="48568.75"/>
    <n v="26156.299999999988"/>
    <n v="53.854175781752645"/>
    <n v="35.003389091074538"/>
  </r>
  <r>
    <n v="20"/>
    <x v="19"/>
    <m/>
    <m/>
    <n v="2414"/>
    <n v="246806"/>
    <s v="8"/>
    <s v="31090"/>
    <s v="286339"/>
    <s v="58"/>
    <s v="83615"/>
    <s v="252221"/>
    <s v="9"/>
    <s v="10160"/>
    <s v="28964"/>
    <s v="140"/>
    <s v="15"/>
    <s v="38278"/>
    <s v="456"/>
    <s v="1337875"/>
    <s v="75284"/>
    <n v="0"/>
    <n v="0"/>
    <n v="3"/>
    <m/>
    <m/>
    <s v="SALES"/>
    <n v="1268970"/>
    <n v="144917.82"/>
    <n v="100718.287505"/>
    <n v="44199.532495000007"/>
    <n v="43.884316929838377"/>
    <n v="30.499722183924661"/>
    <n v="0"/>
    <n v="0"/>
    <n v="0"/>
    <n v="0"/>
    <n v="0"/>
    <n v="0"/>
    <n v="9038.06"/>
    <n v="192934.92"/>
    <n v="164815.42000000004"/>
    <n v="28119.499999999971"/>
    <n v="17.061207015702756"/>
    <n v="14.574603705746981"/>
    <n v="344.24"/>
    <n v="9983.24"/>
    <n v="0"/>
    <n v="9983.24"/>
    <n v="0"/>
    <n v="100"/>
  </r>
  <r>
    <n v="21"/>
    <x v="20"/>
    <s v="2422.00"/>
    <s v="196182.00"/>
    <n v="3520"/>
    <n v="458601"/>
    <s v="8"/>
    <s v="29990"/>
    <s v="289003"/>
    <s v="68"/>
    <s v="78070"/>
    <s v="237666"/>
    <s v="21"/>
    <s v="26435"/>
    <s v="104910"/>
    <s v="815"/>
    <s v="22"/>
    <s v="42305"/>
    <s v="442"/>
    <s v="1745955"/>
    <s v="111128"/>
    <n v="-180"/>
    <n v="0"/>
    <n v="5.99"/>
    <m/>
    <m/>
    <s v="SALES"/>
    <n v="1334140"/>
    <n v="121148.05"/>
    <n v="85925.222900000008"/>
    <n v="35222.827099999995"/>
    <n v="40.99241865335911"/>
    <n v="29.074200616518382"/>
    <n v="0"/>
    <n v="0"/>
    <n v="0"/>
    <n v="0"/>
    <n v="0"/>
    <n v="0"/>
    <n v="11357.420000000004"/>
    <n v="289374.70999999996"/>
    <n v="235474.04000000004"/>
    <n v="53900.669999999925"/>
    <n v="22.890281238645212"/>
    <n v="18.626600092316263"/>
    <n v="444.6"/>
    <n v="9781.2000000000007"/>
    <n v="0"/>
    <n v="9781.2000000000007"/>
    <n v="0"/>
    <n v="100"/>
  </r>
  <r>
    <n v="22"/>
    <x v="21"/>
    <s v="23920.00"/>
    <s v="112490.40"/>
    <n v="2102"/>
    <n v="300720.68"/>
    <s v="7"/>
    <s v="22000"/>
    <s v="199256"/>
    <s v="88"/>
    <s v="103230"/>
    <s v="287020"/>
    <s v="21"/>
    <s v="33788"/>
    <s v="106904"/>
    <s v="152"/>
    <s v="18"/>
    <s v="60145"/>
    <s v="401"/>
    <s v="1541935"/>
    <s v="111535"/>
    <n v="0"/>
    <n v="0"/>
    <n v="3.88"/>
    <m/>
    <m/>
    <s v="SALES"/>
    <n v="769960"/>
    <n v="88268.080000000016"/>
    <n v="67705.667780000003"/>
    <n v="20562.412220000013"/>
    <n v="30.370296747998506"/>
    <n v="23.295411229064921"/>
    <n v="0"/>
    <n v="0"/>
    <n v="0"/>
    <n v="0"/>
    <n v="0"/>
    <n v="0"/>
    <n v="13050.14"/>
    <n v="133282.23999999996"/>
    <n v="245518.6590000001"/>
    <n v="-112236.41900000014"/>
    <n v="0"/>
    <n v="0"/>
    <n v="347.16"/>
    <n v="7637.52"/>
    <n v="0"/>
    <n v="7637.52"/>
    <n v="0"/>
    <n v="100"/>
  </r>
  <r>
    <n v="23"/>
    <x v="22"/>
    <m/>
    <m/>
    <n v="23935"/>
    <n v="117044.4"/>
    <s v="2"/>
    <s v="8500"/>
    <s v="78285"/>
    <s v="98"/>
    <s v="137125"/>
    <s v="385083"/>
    <s v="18"/>
    <s v="22874"/>
    <s v="93990"/>
    <s v="205"/>
    <s v="13"/>
    <s v="38973"/>
    <s v="908"/>
    <s v="1147245"/>
    <s v="84077"/>
    <n v="0"/>
    <n v="0"/>
    <n v="1.72"/>
    <m/>
    <m/>
    <s v="SALES"/>
    <n v="1154975"/>
    <n v="168106.94999999998"/>
    <n v="90518.105825000006"/>
    <n v="77588.844174999991"/>
    <n v="85.716380681897675"/>
    <n v="46.154453563639095"/>
    <n v="0"/>
    <n v="0"/>
    <n v="0"/>
    <n v="0"/>
    <n v="0"/>
    <n v="0"/>
    <n v="12435.110000000006"/>
    <n v="111915.98"/>
    <n v="234691.32299999995"/>
    <n v="-122775.34299999994"/>
    <n v="0"/>
    <n v="0"/>
    <n v="14"/>
    <n v="14900"/>
    <n v="0"/>
    <n v="14900"/>
    <n v="0"/>
    <n v="100"/>
  </r>
  <r>
    <n v="24"/>
    <x v="23"/>
    <s v="6380.00"/>
    <s v="144963.60"/>
    <n v="6839.7699999999995"/>
    <n v="177220.27499999999"/>
    <s v="5"/>
    <s v="17220"/>
    <s v="189500"/>
    <s v="83"/>
    <s v="107792"/>
    <s v="414076"/>
    <s v="13"/>
    <s v="16978"/>
    <s v="55155"/>
    <s v="214"/>
    <s v="9"/>
    <s v="47531"/>
    <s v="581"/>
    <s v="1563410"/>
    <s v="107561"/>
    <n v="1600"/>
    <n v="0.08"/>
    <n v="9.4499999999999993"/>
    <m/>
    <m/>
    <s v="SALES"/>
    <n v="1865250"/>
    <n v="194458.17"/>
    <n v="128720.8293"/>
    <n v="65737.340699999986"/>
    <n v="51.069699486468409"/>
    <n v="33.805388943030778"/>
    <n v="0"/>
    <n v="0"/>
    <n v="0"/>
    <n v="0"/>
    <n v="0"/>
    <n v="0"/>
    <n v="2872.16"/>
    <n v="60315.360000000001"/>
    <n v="55376.44999999999"/>
    <n v="4938.9100000000108"/>
    <n v="8.9187912912438616"/>
    <n v="8.1884780261611816"/>
    <n v="991.1"/>
    <n v="25331.7"/>
    <n v="0"/>
    <n v="25331.7"/>
    <n v="0"/>
    <n v="100"/>
  </r>
  <r>
    <n v="25"/>
    <x v="24"/>
    <m/>
    <m/>
    <n v="0"/>
    <n v="0"/>
    <m/>
    <m/>
    <m/>
    <m/>
    <m/>
    <m/>
    <m/>
    <m/>
    <m/>
    <m/>
    <m/>
    <m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"/>
    <x v="25"/>
    <m/>
    <m/>
    <n v="1169.0899999999999"/>
    <n v="265855.33499999996"/>
    <s v="7"/>
    <s v="16350"/>
    <s v="204546"/>
    <s v="66"/>
    <s v="77530"/>
    <s v="201252"/>
    <s v="15"/>
    <s v="18157"/>
    <s v="77129"/>
    <s v="72"/>
    <s v="14"/>
    <s v="73869"/>
    <s v="619"/>
    <s v="897389"/>
    <s v="104061"/>
    <n v="0"/>
    <n v="0"/>
    <n v="1.5"/>
    <m/>
    <m/>
    <s v="SALES"/>
    <n v="1049910"/>
    <n v="143661.07"/>
    <n v="66808.258044999995"/>
    <n v="76852.811955000012"/>
    <n v="115.03489868458226"/>
    <n v="53.49592061022517"/>
    <n v="0"/>
    <n v="0"/>
    <n v="0"/>
    <n v="0"/>
    <n v="0"/>
    <n v="0"/>
    <n v="2509.0399999999995"/>
    <n v="60217.200000000012"/>
    <n v="48673.58"/>
    <n v="11543.62000000001"/>
    <n v="23.716398095229504"/>
    <n v="19.169971370306172"/>
    <n v="9"/>
    <n v="6600"/>
    <n v="0"/>
    <n v="6600"/>
    <n v="0"/>
    <n v="100"/>
  </r>
  <r>
    <n v="27"/>
    <x v="26"/>
    <s v="4000.00"/>
    <s v="920000.00"/>
    <n v="2119.8000000000002"/>
    <n v="262543.68"/>
    <s v="9"/>
    <s v="27650"/>
    <s v="272343"/>
    <s v="79"/>
    <s v="109075"/>
    <s v="349901"/>
    <s v="22"/>
    <s v="24052"/>
    <s v="64533"/>
    <s v="113"/>
    <s v="16"/>
    <s v="82394"/>
    <s v="695"/>
    <s v="2203865"/>
    <s v="149765"/>
    <n v="0"/>
    <n v="0"/>
    <n v="1.91"/>
    <m/>
    <m/>
    <s v="SALES"/>
    <n v="1577255"/>
    <n v="206258.95"/>
    <n v="116503.257"/>
    <n v="89755.693000000014"/>
    <n v="77.041359453152467"/>
    <n v="43.516023425892563"/>
    <n v="0"/>
    <n v="0"/>
    <n v="0"/>
    <n v="0"/>
    <n v="0"/>
    <n v="0"/>
    <n v="14155.020000000004"/>
    <n v="309578.48999999987"/>
    <n v="255386.03000000009"/>
    <n v="54192.459999999788"/>
    <n v="21.219821616710892"/>
    <n v="17.5052407549374"/>
    <n v="0"/>
    <n v="0"/>
    <n v="0"/>
    <n v="0"/>
    <n v="0"/>
    <n v="0"/>
  </r>
  <r>
    <n v="28"/>
    <x v="27"/>
    <s v="1367.00"/>
    <s v="120296.00"/>
    <n v="1272"/>
    <n v="142965.35999999999"/>
    <s v="5"/>
    <s v="18100"/>
    <s v="163489"/>
    <s v="64"/>
    <s v="84045"/>
    <s v="166596"/>
    <s v="14"/>
    <s v="18861"/>
    <s v="91743"/>
    <s v="105"/>
    <s v="12"/>
    <s v="27003"/>
    <s v="384"/>
    <s v="1567581"/>
    <s v="129433"/>
    <n v="17856"/>
    <n v="1.04"/>
    <n v="2.44"/>
    <m/>
    <m/>
    <s v="SALES"/>
    <n v="4495892"/>
    <n v="349086.35000000009"/>
    <n v="217963.18931800008"/>
    <n v="131123.16068200002"/>
    <n v="60.158396971653907"/>
    <n v="37.561812623724755"/>
    <n v="0"/>
    <n v="0"/>
    <n v="0"/>
    <n v="0"/>
    <n v="0"/>
    <n v="0"/>
    <n v="29074.509999999987"/>
    <n v="688934.08999999973"/>
    <n v="588932.18499999959"/>
    <n v="100001.90500000014"/>
    <n v="16.980207152373616"/>
    <n v="14.515453140081974"/>
    <n v="7"/>
    <n v="5500"/>
    <n v="0"/>
    <n v="5500"/>
    <n v="0"/>
    <n v="100"/>
  </r>
  <r>
    <n v="29"/>
    <x v="28"/>
    <s v="270.00"/>
    <s v="84330.00"/>
    <n v="2453"/>
    <n v="369002"/>
    <s v="8"/>
    <s v="26470"/>
    <s v="256230"/>
    <s v="58"/>
    <s v="79360"/>
    <s v="190324"/>
    <s v="14"/>
    <s v="16815"/>
    <s v="52053"/>
    <s v="10"/>
    <s v="10"/>
    <s v="27751"/>
    <s v="426"/>
    <s v="1493018"/>
    <s v="81243"/>
    <n v="-411"/>
    <n v="0"/>
    <n v="3.42"/>
    <m/>
    <m/>
    <s v="SALES"/>
    <n v="992420"/>
    <n v="218649"/>
    <n v="93493.952164000002"/>
    <n v="125155.047836"/>
    <n v="133.86432484580664"/>
    <n v="57.240164755384207"/>
    <n v="0"/>
    <n v="0"/>
    <n v="0"/>
    <n v="0"/>
    <n v="0"/>
    <n v="0"/>
    <n v="17013.500000000004"/>
    <n v="377640.64000000007"/>
    <n v="327176.9499999999"/>
    <n v="50463.690000000177"/>
    <n v="15.423974702374416"/>
    <n v="13.362886473235552"/>
    <n v="0"/>
    <n v="0"/>
    <n v="0"/>
    <n v="0"/>
    <n v="0"/>
    <n v="0"/>
  </r>
  <r>
    <n v="30"/>
    <x v="29"/>
    <m/>
    <m/>
    <n v="3"/>
    <n v="283.5"/>
    <m/>
    <m/>
    <m/>
    <s v="68"/>
    <s v="90350"/>
    <s v="216175"/>
    <s v="14"/>
    <s v="16883"/>
    <s v="53346"/>
    <s v="720"/>
    <s v="18"/>
    <s v="70146"/>
    <s v="341"/>
    <s v="898637"/>
    <s v="103053"/>
    <n v="704"/>
    <n v="7.0000000000000007E-2"/>
    <n v="6.65"/>
    <m/>
    <m/>
    <s v="SALES"/>
    <n v="548730"/>
    <n v="101979"/>
    <n v="62188.342839999983"/>
    <n v="39790.657160000017"/>
    <n v="63.984109147874548"/>
    <n v="39.018481412839918"/>
    <n v="0"/>
    <n v="0"/>
    <n v="0"/>
    <n v="0"/>
    <n v="0"/>
    <n v="0"/>
    <n v="4748.5200000000004"/>
    <n v="108810.24000000001"/>
    <n v="88488.319999999992"/>
    <n v="20321.919999999998"/>
    <n v="22.965652416047678"/>
    <n v="18.676477507999248"/>
    <n v="10"/>
    <n v="7200"/>
    <n v="0"/>
    <n v="7200"/>
    <n v="0"/>
    <n v="100"/>
  </r>
  <r>
    <n v="31"/>
    <x v="30"/>
    <s v="3914.60"/>
    <s v="705958.96"/>
    <n v="47"/>
    <n v="6079.5"/>
    <m/>
    <m/>
    <m/>
    <s v="57"/>
    <s v="76905"/>
    <s v="259419"/>
    <s v="14"/>
    <s v="18210"/>
    <s v="54018"/>
    <s v="20"/>
    <s v="18"/>
    <s v="78135"/>
    <s v="655"/>
    <s v="848022"/>
    <s v="78794"/>
    <n v="-34058"/>
    <n v="0"/>
    <n v="0"/>
    <m/>
    <m/>
    <s v="SALES"/>
    <n v="1458828"/>
    <n v="176338.1"/>
    <n v="154533.53940799995"/>
    <n v="21804.560592000053"/>
    <n v="14.109921170207318"/>
    <n v="12.365201049574679"/>
    <n v="0"/>
    <n v="0"/>
    <n v="0"/>
    <n v="0"/>
    <n v="0"/>
    <n v="0"/>
    <n v="14068.7"/>
    <n v="328084.94"/>
    <n v="281111.97500000003"/>
    <n v="46972.964999999967"/>
    <n v="16.709699044304308"/>
    <n v="14.317318253010932"/>
    <n v="3561.68"/>
    <n v="95118.660000000018"/>
    <n v="0"/>
    <n v="95118.660000000018"/>
    <n v="0"/>
    <n v="100"/>
  </r>
  <r>
    <n v="32"/>
    <x v="31"/>
    <s v="232938.00"/>
    <s v="587697.81"/>
    <n v="0"/>
    <n v="0"/>
    <m/>
    <m/>
    <m/>
    <m/>
    <m/>
    <m/>
    <m/>
    <m/>
    <m/>
    <m/>
    <m/>
    <m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"/>
    <x v="32"/>
    <s v="17192.70"/>
    <s v="1578425.16"/>
    <n v="76"/>
    <n v="8295.5"/>
    <m/>
    <m/>
    <m/>
    <m/>
    <m/>
    <m/>
    <s v="5"/>
    <s v="7820"/>
    <s v="24613"/>
    <s v="20"/>
    <s v="10"/>
    <s v="26627"/>
    <s v="797"/>
    <s v="799510"/>
    <s v="91698"/>
    <n v="0"/>
    <n v="0"/>
    <n v="0.14000000000000001"/>
    <m/>
    <m/>
    <s v="SALES"/>
    <n v="1130597"/>
    <n v="71621.850000000006"/>
    <n v="55617.385662999994"/>
    <n v="16004.464337000012"/>
    <n v="28.7760097786242"/>
    <n v="22.345784613215116"/>
    <n v="0"/>
    <n v="0"/>
    <n v="0"/>
    <n v="0"/>
    <n v="0"/>
    <n v="0"/>
    <n v="2296.2000000000003"/>
    <n v="55108.800000000003"/>
    <n v="44228.2"/>
    <n v="10880.599999999991"/>
    <n v="24.601046391216443"/>
    <n v="19.743852161542243"/>
    <n v="59639.76"/>
    <n v="24170.120000000003"/>
    <n v="0"/>
    <n v="24170.120000000003"/>
    <n v="0"/>
    <n v="100"/>
  </r>
  <r>
    <n v="34"/>
    <x v="33"/>
    <s v="3067.00"/>
    <s v="423246.00"/>
    <n v="2335.8000000000002"/>
    <n v="286740.35000000003"/>
    <s v="9"/>
    <s v="30770"/>
    <s v="299384"/>
    <s v="32"/>
    <s v="50320"/>
    <s v="119155"/>
    <m/>
    <m/>
    <m/>
    <s v="0"/>
    <s v="9"/>
    <s v="25172"/>
    <s v="169"/>
    <s v="336520"/>
    <s v="53312"/>
    <n v="0"/>
    <n v="0"/>
    <n v="18.23"/>
    <m/>
    <m/>
    <s v="SALES"/>
    <n v="811720"/>
    <n v="198615.8"/>
    <n v="124969.54805000004"/>
    <n v="73646.251949999947"/>
    <n v="58.931358158176458"/>
    <n v="37.079754959071707"/>
    <n v="0"/>
    <n v="0"/>
    <n v="0"/>
    <n v="0"/>
    <n v="0"/>
    <n v="0"/>
    <n v="7081.2299999999977"/>
    <n v="166043.82999999999"/>
    <n v="139022.30999999994"/>
    <n v="27021.520000000048"/>
    <n v="19.436822766072627"/>
    <n v="16.273727244186098"/>
    <n v="0"/>
    <n v="0"/>
    <n v="0"/>
    <n v="0"/>
    <n v="0"/>
    <n v="0"/>
  </r>
  <r>
    <n v="35"/>
    <x v="34"/>
    <s v="13852.20"/>
    <s v="233785.00"/>
    <n v="41255.68"/>
    <n v="681921.71799999999"/>
    <s v="12"/>
    <s v="45900"/>
    <s v="579977"/>
    <s v="53"/>
    <s v="73620"/>
    <s v="240364"/>
    <s v="4"/>
    <s v="5700"/>
    <s v="17925"/>
    <s v="180"/>
    <s v="12"/>
    <s v="34983"/>
    <s v="423"/>
    <s v="982711"/>
    <s v="62290"/>
    <n v="0"/>
    <n v="0"/>
    <n v="0"/>
    <m/>
    <m/>
    <s v="SALES"/>
    <n v="476000"/>
    <n v="39193.449999999997"/>
    <n v="20411.724999999999"/>
    <n v="18781.725000000009"/>
    <n v="92.014393687941634"/>
    <n v="47.920570911721228"/>
    <n v="0"/>
    <n v="0"/>
    <n v="0"/>
    <n v="0"/>
    <n v="0"/>
    <n v="0"/>
    <n v="2064.6"/>
    <n v="45421.2"/>
    <n v="39712.68"/>
    <n v="5708.5199999999968"/>
    <n v="14.37455240996074"/>
    <n v="12.567963858286433"/>
    <n v="0"/>
    <n v="0"/>
    <n v="0"/>
    <n v="0"/>
    <n v="0"/>
    <n v="0"/>
  </r>
  <r>
    <n v="36"/>
    <x v="35"/>
    <m/>
    <m/>
    <n v="4058.8"/>
    <n v="428192.4"/>
    <s v="8"/>
    <s v="30900"/>
    <s v="286134"/>
    <s v="49"/>
    <s v="72566"/>
    <s v="164327"/>
    <s v="8"/>
    <s v="10240"/>
    <s v="31073"/>
    <s v="180"/>
    <s v="16"/>
    <s v="61461"/>
    <s v="497"/>
    <s v="414109"/>
    <s v="73169"/>
    <n v="7991"/>
    <n v="1.74"/>
    <n v="0.36"/>
    <m/>
    <m/>
    <s v="SALES"/>
    <n v="437195"/>
    <n v="97409.66"/>
    <n v="66221.777136999997"/>
    <n v="31187.882862999992"/>
    <n v="47.09611280663507"/>
    <n v="32.017238190750277"/>
    <n v="0"/>
    <n v="0"/>
    <n v="0"/>
    <n v="0"/>
    <n v="0"/>
    <n v="0"/>
    <n v="0"/>
    <n v="0"/>
    <n v="0"/>
    <n v="0"/>
    <n v="0"/>
    <n v="0"/>
    <n v="1026.76"/>
    <n v="31214.519999999997"/>
    <n v="0"/>
    <n v="31214.519999999997"/>
    <n v="0"/>
    <n v="100"/>
  </r>
  <r>
    <n v="37"/>
    <x v="36"/>
    <s v="100.00"/>
    <s v="8525.00"/>
    <n v="40"/>
    <n v="3780"/>
    <s v="6"/>
    <s v="24580"/>
    <s v="227611"/>
    <s v="99"/>
    <s v="134195"/>
    <s v="460281"/>
    <s v="15"/>
    <s v="19535"/>
    <s v="65538"/>
    <s v="615"/>
    <s v="12"/>
    <s v="57901"/>
    <s v="600"/>
    <s v="855232"/>
    <s v="83862"/>
    <n v="138860"/>
    <n v="12.51"/>
    <n v="7.54"/>
    <m/>
    <m/>
    <s v="SALES"/>
    <n v="420760"/>
    <n v="98613.23"/>
    <n v="75581.424309999988"/>
    <n v="23031.805690000023"/>
    <n v="30.472838928695268"/>
    <n v="23.355695468042189"/>
    <n v="0"/>
    <n v="0"/>
    <n v="0"/>
    <n v="0"/>
    <n v="0"/>
    <n v="0"/>
    <n v="4439.84"/>
    <n v="105117.61"/>
    <n v="84514.580000000016"/>
    <n v="20603.029999999984"/>
    <n v="24.378077723393975"/>
    <n v="19.599979489640205"/>
    <n v="309"/>
    <n v="6798"/>
    <n v="0"/>
    <n v="6798"/>
    <n v="0"/>
    <n v="100"/>
  </r>
  <r>
    <n v="38"/>
    <x v="37"/>
    <m/>
    <m/>
    <n v="4506.3999999999996"/>
    <n v="573985.19999999995"/>
    <s v="16"/>
    <s v="58200"/>
    <s v="556773"/>
    <s v="84"/>
    <s v="112175"/>
    <s v="418911"/>
    <s v="21"/>
    <s v="28340"/>
    <s v="124250"/>
    <s v="555"/>
    <s v="16"/>
    <s v="41264"/>
    <s v="580"/>
    <s v="1180430"/>
    <s v="131424"/>
    <n v="-776"/>
    <n v="0"/>
    <n v="6.56"/>
    <m/>
    <m/>
    <s v="SALES"/>
    <n v="1058160"/>
    <n v="165053.10000000003"/>
    <n v="126961.70355999999"/>
    <n v="38091.396440000026"/>
    <n v="30.002272631761485"/>
    <n v="23.078267805936399"/>
    <n v="0"/>
    <n v="0"/>
    <n v="0"/>
    <n v="0"/>
    <n v="0"/>
    <n v="0"/>
    <n v="19831.71999999999"/>
    <n v="475099.18000000005"/>
    <n v="399440.61499999987"/>
    <n v="75658.565000000177"/>
    <n v="18.941129709606571"/>
    <n v="15.924793850412492"/>
    <n v="728.5"/>
    <n v="20392.5"/>
    <n v="0"/>
    <n v="20392.5"/>
    <n v="0"/>
    <n v="100"/>
  </r>
  <r>
    <n v="39"/>
    <x v="38"/>
    <m/>
    <m/>
    <n v="0"/>
    <n v="0"/>
    <m/>
    <m/>
    <m/>
    <s v="60"/>
    <s v="73080"/>
    <s v="176429"/>
    <m/>
    <m/>
    <m/>
    <m/>
    <m/>
    <m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0"/>
    <x v="39"/>
    <s v="10397.00"/>
    <s v="1563851.61"/>
    <n v="2033"/>
    <n v="257509.2"/>
    <s v="7"/>
    <s v="25850"/>
    <s v="233002"/>
    <s v="82"/>
    <s v="110523"/>
    <s v="291499"/>
    <s v="25"/>
    <s v="33238"/>
    <s v="86613"/>
    <s v="317"/>
    <s v="22"/>
    <s v="49659"/>
    <s v="406"/>
    <s v="1741308"/>
    <s v="92803"/>
    <n v="1641"/>
    <n v="0.08"/>
    <n v="2.58"/>
    <m/>
    <m/>
    <s v="SALES"/>
    <n v="760168"/>
    <n v="52980.25"/>
    <n v="41974.962959999997"/>
    <n v="11005.287039999996"/>
    <n v="26.218693868741401"/>
    <n v="20.772433199163832"/>
    <n v="0"/>
    <n v="0"/>
    <n v="0"/>
    <n v="0"/>
    <n v="0"/>
    <n v="0"/>
    <n v="10134.079999999996"/>
    <n v="226323.11999999997"/>
    <n v="191918.11999999997"/>
    <n v="34405"/>
    <n v="17.926915916016689"/>
    <n v="15.201716908109081"/>
    <n v="684.38"/>
    <n v="16712.36"/>
    <n v="0"/>
    <n v="16712.36"/>
    <n v="0"/>
    <n v="100"/>
  </r>
  <r>
    <n v="41"/>
    <x v="40"/>
    <m/>
    <m/>
    <n v="15598"/>
    <n v="317398.25"/>
    <s v="9"/>
    <s v="28750"/>
    <s v="279162"/>
    <s v="61"/>
    <s v="87810"/>
    <s v="197072"/>
    <s v="12"/>
    <s v="15890"/>
    <s v="44557"/>
    <s v="195"/>
    <s v="27"/>
    <s v="73441"/>
    <s v="395"/>
    <s v="1393450"/>
    <s v="73888"/>
    <n v="0"/>
    <n v="0"/>
    <n v="3.85"/>
    <m/>
    <m/>
    <s v="SALES"/>
    <n v="925800"/>
    <n v="104924.96"/>
    <n v="60261.292000000001"/>
    <n v="44663.667999999991"/>
    <n v="74.116678414395736"/>
    <n v="42.567248059946841"/>
    <n v="0"/>
    <n v="0"/>
    <n v="0"/>
    <n v="0"/>
    <n v="0"/>
    <n v="0"/>
    <n v="12020.249999999998"/>
    <n v="269348.77"/>
    <n v="229229.07800000004"/>
    <n v="40119.691999999981"/>
    <n v="17.502008187634893"/>
    <n v="14.895071546085015"/>
    <n v="0"/>
    <n v="0"/>
    <n v="0"/>
    <n v="0"/>
    <n v="0"/>
    <n v="0"/>
  </r>
  <r>
    <n v="42"/>
    <x v="41"/>
    <m/>
    <m/>
    <n v="1698"/>
    <n v="186206.38"/>
    <s v="8"/>
    <s v="28430"/>
    <s v="276054"/>
    <s v="83"/>
    <s v="107805"/>
    <s v="317910"/>
    <s v="13"/>
    <s v="17440"/>
    <s v="96762"/>
    <s v="415"/>
    <s v="16"/>
    <s v="48806"/>
    <s v="298"/>
    <s v="1176564"/>
    <s v="99970"/>
    <n v="7758"/>
    <n v="0.59"/>
    <n v="0"/>
    <m/>
    <m/>
    <s v="SALES"/>
    <n v="2259155"/>
    <n v="270729.59999999998"/>
    <n v="168947.37432999996"/>
    <n v="101782.22567"/>
    <n v="60.2449289748604"/>
    <n v="37.595529144208847"/>
    <n v="0"/>
    <n v="0"/>
    <n v="0"/>
    <n v="0"/>
    <n v="0"/>
    <n v="0"/>
    <n v="13358.21"/>
    <n v="298756.95000000013"/>
    <n v="252698.58999999991"/>
    <n v="46058.36000000019"/>
    <n v="18.226599523171146"/>
    <n v="15.416665620665954"/>
    <n v="2"/>
    <n v="1400"/>
    <n v="0"/>
    <n v="1400"/>
    <n v="0"/>
    <n v="100"/>
  </r>
  <r>
    <n v="43"/>
    <x v="42"/>
    <s v="12370.00"/>
    <s v="58782.24"/>
    <n v="70497.3"/>
    <n v="507822.56599999993"/>
    <s v="10"/>
    <s v="28590"/>
    <s v="363782"/>
    <s v="103"/>
    <s v="130713"/>
    <s v="283956"/>
    <s v="12"/>
    <s v="16600"/>
    <s v="40761"/>
    <s v="197"/>
    <s v="11"/>
    <s v="62403"/>
    <s v="500"/>
    <s v="2249587"/>
    <s v="109197"/>
    <n v="13712"/>
    <n v="0.57999999999999996"/>
    <n v="3.73"/>
    <m/>
    <m/>
    <s v="SALES"/>
    <n v="1351250"/>
    <n v="145574.59999999998"/>
    <n v="78422.612409999987"/>
    <n v="67151.98758999999"/>
    <n v="85.628348159232146"/>
    <n v="46.128917812585435"/>
    <n v="0"/>
    <n v="0"/>
    <n v="0"/>
    <n v="0"/>
    <n v="0"/>
    <n v="0"/>
    <n v="18005.759999999995"/>
    <n v="398895.58999999979"/>
    <n v="343126.54799999984"/>
    <n v="55769.041999999958"/>
    <n v="16.253199388116126"/>
    <n v="13.98086200952986"/>
    <n v="18"/>
    <n v="12699.9"/>
    <n v="0"/>
    <n v="12699.9"/>
    <n v="0"/>
    <n v="100"/>
  </r>
  <r>
    <n v="44"/>
    <x v="43"/>
    <m/>
    <m/>
    <n v="28464.799999999999"/>
    <n v="318297.30000000005"/>
    <s v="8"/>
    <s v="29600"/>
    <s v="274096"/>
    <s v="56"/>
    <s v="78983"/>
    <s v="261519"/>
    <s v="8"/>
    <s v="10735"/>
    <s v="32149"/>
    <s v="375"/>
    <s v="9"/>
    <s v="34234"/>
    <s v="253"/>
    <s v="1202905"/>
    <s v="51882"/>
    <n v="-1545"/>
    <n v="0"/>
    <n v="3.38"/>
    <m/>
    <m/>
    <s v="SALES"/>
    <n v="1662501"/>
    <n v="182177.82000000004"/>
    <n v="144966.84873799994"/>
    <n v="37210.971262000094"/>
    <n v="25.668607399510947"/>
    <n v="20.425632089570556"/>
    <n v="0"/>
    <n v="0"/>
    <n v="0"/>
    <n v="0"/>
    <n v="0"/>
    <n v="0"/>
    <n v="0"/>
    <n v="0"/>
    <n v="0"/>
    <n v="0"/>
    <n v="0"/>
    <n v="0"/>
    <n v="2234.66"/>
    <n v="67742.820000000007"/>
    <n v="0"/>
    <n v="67742.820000000007"/>
    <n v="0"/>
    <n v="100"/>
  </r>
  <r>
    <n v="45"/>
    <x v="44"/>
    <s v="150.00"/>
    <s v="58950.00"/>
    <n v="2367"/>
    <n v="274780.55000000005"/>
    <s v="9"/>
    <s v="30600"/>
    <s v="270623"/>
    <s v="57"/>
    <s v="56385"/>
    <s v="162812"/>
    <s v="17"/>
    <s v="25087"/>
    <s v="76351"/>
    <s v="318"/>
    <s v="18"/>
    <s v="72006"/>
    <s v="831"/>
    <s v="1183350"/>
    <s v="110817"/>
    <n v="-5601"/>
    <n v="0"/>
    <n v="2.2599999999999998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6"/>
    <x v="45"/>
    <m/>
    <m/>
    <n v="0"/>
    <n v="0"/>
    <m/>
    <m/>
    <m/>
    <m/>
    <m/>
    <m/>
    <s v="2"/>
    <s v="2310"/>
    <s v="11664"/>
    <s v="53"/>
    <m/>
    <m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7"/>
    <x v="46"/>
    <s v="32.00"/>
    <s v="0.00"/>
    <n v="2282"/>
    <n v="288488.12"/>
    <s v="7"/>
    <s v="24690"/>
    <s v="236129"/>
    <s v="60"/>
    <s v="85970"/>
    <s v="203690"/>
    <s v="22"/>
    <s v="28335"/>
    <s v="87460"/>
    <s v="958"/>
    <s v="11"/>
    <s v="35530"/>
    <s v="520"/>
    <s v="1376370"/>
    <s v="90835"/>
    <n v="-27144"/>
    <n v="0"/>
    <n v="3.01"/>
    <m/>
    <m/>
    <s v="SALES"/>
    <n v="1008020"/>
    <n v="47625.33"/>
    <n v="32575.337459999999"/>
    <n v="15049.992539999999"/>
    <n v="46.200572928769283"/>
    <n v="31.600815238445591"/>
    <n v="0"/>
    <n v="0"/>
    <n v="0"/>
    <n v="0"/>
    <n v="0"/>
    <n v="0"/>
    <n v="14455.72"/>
    <n v="312792.14000000007"/>
    <n v="269066.8899999999"/>
    <n v="43725.250000000175"/>
    <n v="16.250698850386307"/>
    <n v="13.979011748824687"/>
    <n v="480.2"/>
    <n v="14960.4"/>
    <n v="0"/>
    <n v="14960.4"/>
    <n v="0"/>
    <n v="100"/>
  </r>
  <r>
    <n v="48"/>
    <x v="47"/>
    <s v="1968.60"/>
    <s v="493195.10"/>
    <n v="15387.1"/>
    <n v="525369.39899999998"/>
    <s v="10"/>
    <s v="31270"/>
    <s v="304585"/>
    <s v="84"/>
    <s v="127687"/>
    <s v="347012"/>
    <s v="14"/>
    <s v="18346"/>
    <s v="59990"/>
    <s v="279"/>
    <s v="12"/>
    <s v="55947"/>
    <s v="252"/>
    <s v="1215650"/>
    <s v="75726"/>
    <n v="-10200"/>
    <n v="0"/>
    <n v="6.37"/>
    <m/>
    <m/>
    <s v="SALES"/>
    <n v="2167790"/>
    <n v="375940.14"/>
    <n v="169064.08588499998"/>
    <n v="206876.05411500004"/>
    <n v="122.36546457047083"/>
    <n v="55.028987890199765"/>
    <n v="0"/>
    <n v="0"/>
    <n v="0"/>
    <n v="0"/>
    <n v="0"/>
    <n v="0"/>
    <n v="10213.299999999999"/>
    <n v="225997.09"/>
    <n v="191664.611"/>
    <n v="34332.478999999992"/>
    <n v="17.912789857695739"/>
    <n v="15.191557997494568"/>
    <n v="2"/>
    <n v="1700"/>
    <n v="0"/>
    <n v="1700"/>
    <n v="0"/>
    <n v="100"/>
  </r>
  <r>
    <n v="49"/>
    <x v="48"/>
    <s v="7458.00"/>
    <s v="635842.74"/>
    <n v="1448.76"/>
    <n v="310431.99600000004"/>
    <s v="11"/>
    <s v="28330"/>
    <s v="337409"/>
    <s v="109"/>
    <s v="120810"/>
    <s v="402096"/>
    <s v="16"/>
    <s v="21570"/>
    <s v="56774"/>
    <s v="487"/>
    <s v="24"/>
    <s v="83355"/>
    <s v="530"/>
    <s v="593163"/>
    <s v="80684"/>
    <n v="0"/>
    <n v="0"/>
    <n v="9.33"/>
    <m/>
    <m/>
    <s v="SALES"/>
    <n v="248790"/>
    <n v="134525.5"/>
    <n v="61594.227850000003"/>
    <n v="72931.272150000004"/>
    <n v="118.40601740736004"/>
    <n v="54.21371572675813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"/>
    <x v="49"/>
    <m/>
    <m/>
    <n v="1926.02"/>
    <n v="432147.91"/>
    <s v="8"/>
    <s v="23640"/>
    <s v="297353"/>
    <s v="49"/>
    <s v="72155"/>
    <s v="262569"/>
    <s v="15"/>
    <s v="20596"/>
    <s v="49294"/>
    <s v="534"/>
    <s v="13"/>
    <s v="44792"/>
    <s v="854"/>
    <s v="1347674"/>
    <s v="136658"/>
    <n v="190"/>
    <n v="0.01"/>
    <n v="8.2100000000000009"/>
    <m/>
    <m/>
    <s v="SALES"/>
    <n v="4282022"/>
    <n v="363725.03"/>
    <n v="243714.33960699991"/>
    <n v="120010.69039300004"/>
    <n v="49.242359143299701"/>
    <n v="32.994894630430039"/>
    <n v="0"/>
    <n v="0"/>
    <n v="0"/>
    <n v="0"/>
    <n v="0"/>
    <n v="0"/>
    <n v="9021.1"/>
    <n v="199264.2"/>
    <n v="172654.21999999994"/>
    <n v="26609.980000000069"/>
    <n v="15.412296322673187"/>
    <n v="13.354119806769138"/>
    <n v="546"/>
    <n v="12012"/>
    <n v="0"/>
    <n v="12012"/>
    <n v="0"/>
    <n v="100"/>
  </r>
  <r>
    <n v="51"/>
    <x v="50"/>
    <s v="4184.00"/>
    <s v="506264.00"/>
    <n v="2698.1"/>
    <n v="390327.94"/>
    <s v="9"/>
    <s v="31550"/>
    <s v="347295"/>
    <s v="77"/>
    <s v="96650"/>
    <s v="254724"/>
    <s v="13"/>
    <s v="17003"/>
    <s v="63173"/>
    <s v="434"/>
    <s v="18"/>
    <s v="77514"/>
    <s v="411"/>
    <s v="1497460"/>
    <s v="88311"/>
    <n v="0"/>
    <n v="0"/>
    <n v="0.76"/>
    <m/>
    <m/>
    <s v="SALES"/>
    <n v="2342350"/>
    <n v="316225.84999999998"/>
    <n v="175342.46757999997"/>
    <n v="140883.38242000001"/>
    <n v="80.347553199410754"/>
    <n v="44.551507228140906"/>
    <n v="0"/>
    <n v="0"/>
    <n v="0"/>
    <n v="0"/>
    <n v="0"/>
    <n v="0"/>
    <n v="7401.1699999999992"/>
    <n v="172142.93999999994"/>
    <n v="141134.31"/>
    <n v="31008.629999999943"/>
    <n v="21.971007616787119"/>
    <n v="18.013303362891303"/>
    <n v="551"/>
    <n v="12850"/>
    <n v="0"/>
    <n v="12850"/>
    <n v="0"/>
    <n v="100"/>
  </r>
  <r>
    <n v="52"/>
    <x v="51"/>
    <s v="50.00"/>
    <s v="6975.00"/>
    <n v="2923"/>
    <n v="342735.35999999999"/>
    <s v="5"/>
    <s v="20450"/>
    <s v="205299"/>
    <s v="28"/>
    <s v="37410"/>
    <s v="102416"/>
    <s v="5"/>
    <s v="6020"/>
    <s v="16741"/>
    <s v="78"/>
    <s v="5"/>
    <s v="13919"/>
    <s v="157"/>
    <s v="885400"/>
    <s v="66510"/>
    <n v="1292"/>
    <n v="0.14000000000000001"/>
    <n v="3.9"/>
    <m/>
    <m/>
    <s v="SALES"/>
    <n v="938400"/>
    <n v="113341.45"/>
    <n v="73299.358300000007"/>
    <n v="40042.09169999999"/>
    <n v="54.628161321843372"/>
    <n v="35.32872722203571"/>
    <n v="0"/>
    <n v="0"/>
    <n v="0"/>
    <n v="0"/>
    <n v="0"/>
    <n v="0"/>
    <n v="0"/>
    <n v="0"/>
    <n v="0"/>
    <n v="0"/>
    <n v="0"/>
    <n v="0"/>
    <n v="3"/>
    <n v="2550"/>
    <n v="0"/>
    <n v="2550"/>
    <n v="0"/>
    <n v="100"/>
  </r>
  <r>
    <n v="53"/>
    <x v="52"/>
    <m/>
    <m/>
    <n v="1130"/>
    <n v="115056.23"/>
    <s v="8"/>
    <s v="26860"/>
    <s v="255437"/>
    <m/>
    <m/>
    <m/>
    <m/>
    <m/>
    <m/>
    <m/>
    <m/>
    <m/>
    <s v="13"/>
    <s v="55980"/>
    <s v="3561"/>
    <n v="57"/>
    <n v="0.1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4"/>
    <x v="53"/>
    <s v="3690.00"/>
    <s v="173756.00"/>
    <n v="4215"/>
    <n v="208791.29"/>
    <s v="8"/>
    <s v="31400"/>
    <s v="298613"/>
    <s v="78"/>
    <s v="115460"/>
    <s v="300369"/>
    <s v="10"/>
    <s v="13480"/>
    <s v="40959"/>
    <s v="265"/>
    <s v="11"/>
    <s v="53598"/>
    <s v="379"/>
    <s v="1210290"/>
    <s v="84523"/>
    <n v="0"/>
    <n v="0"/>
    <n v="4.53"/>
    <m/>
    <m/>
    <s v="SALES"/>
    <n v="1672880"/>
    <n v="234521.44"/>
    <n v="120679.96952"/>
    <n v="113841.47048"/>
    <n v="94.333360318866596"/>
    <n v="48.542031159283347"/>
    <n v="0"/>
    <n v="0"/>
    <n v="0"/>
    <n v="0"/>
    <n v="0"/>
    <n v="0"/>
    <n v="23398.800000000003"/>
    <n v="528316.63"/>
    <n v="454588.89999999985"/>
    <n v="73727.730000000156"/>
    <n v="16.21855043094985"/>
    <n v="13.955216590475327"/>
    <n v="351"/>
    <n v="8500"/>
    <n v="0"/>
    <n v="8500"/>
    <n v="0"/>
    <n v="100"/>
  </r>
  <r>
    <n v="55"/>
    <x v="54"/>
    <s v="220.00"/>
    <s v="21630.00"/>
    <n v="67"/>
    <n v="6331.5"/>
    <s v="1"/>
    <s v="5880"/>
    <s v="55919"/>
    <s v="48"/>
    <s v="71115"/>
    <s v="187645"/>
    <s v="21"/>
    <s v="30790"/>
    <s v="111679"/>
    <s v="590"/>
    <s v="20"/>
    <s v="94978"/>
    <s v="981"/>
    <s v="2173096"/>
    <s v="171207"/>
    <n v="22960"/>
    <n v="0.96"/>
    <n v="4.1100000000000003"/>
    <m/>
    <m/>
    <s v="SALES"/>
    <n v="883760"/>
    <n v="129578.21"/>
    <n v="76546.521515"/>
    <n v="53031.688484999991"/>
    <n v="69.280337545590413"/>
    <n v="40.926393785652692"/>
    <n v="0"/>
    <n v="0"/>
    <n v="0"/>
    <n v="0"/>
    <n v="0"/>
    <n v="0"/>
    <n v="3446.52"/>
    <n v="75823.440000000017"/>
    <n v="64015.62"/>
    <n v="11807.820000000014"/>
    <n v="18.445216964234685"/>
    <n v="15.5727832976188"/>
    <n v="0"/>
    <n v="0"/>
    <n v="0"/>
    <n v="0"/>
    <n v="0"/>
    <n v="0"/>
  </r>
  <r>
    <n v="56"/>
    <x v="55"/>
    <m/>
    <m/>
    <n v="3027.2"/>
    <n v="327763.18999999994"/>
    <s v="6"/>
    <s v="25270"/>
    <s v="235124"/>
    <s v="77"/>
    <s v="97660"/>
    <s v="294761"/>
    <s v="6"/>
    <s v="11305"/>
    <s v="40627"/>
    <s v="150"/>
    <s v="14"/>
    <s v="55042"/>
    <s v="709"/>
    <s v="937620"/>
    <s v="161006"/>
    <n v="13275"/>
    <n v="1.24"/>
    <n v="4.28"/>
    <m/>
    <m/>
    <s v="SALES"/>
    <n v="657811"/>
    <n v="123514.26"/>
    <n v="90545.532605"/>
    <n v="32968.727395000009"/>
    <n v="36.411213724728206"/>
    <n v="26.692243790312155"/>
    <n v="0"/>
    <n v="0"/>
    <n v="0"/>
    <n v="0"/>
    <n v="0"/>
    <n v="0"/>
    <n v="7067.01"/>
    <n v="164044.74"/>
    <n v="136120.85"/>
    <n v="27923.889999999985"/>
    <n v="20.514043219683089"/>
    <n v="17.022118478166377"/>
    <n v="382.2000000000001"/>
    <n v="10319.4"/>
    <n v="0"/>
    <n v="10319.4"/>
    <n v="0"/>
    <n v="100"/>
  </r>
  <r>
    <n v="57"/>
    <x v="56"/>
    <m/>
    <m/>
    <n v="2274"/>
    <n v="280928.45999999996"/>
    <s v="7"/>
    <s v="29470"/>
    <s v="265230"/>
    <s v="44"/>
    <s v="63199"/>
    <s v="180695"/>
    <s v="20"/>
    <s v="26483"/>
    <s v="88886"/>
    <s v="485"/>
    <s v="16"/>
    <s v="78234"/>
    <s v="317"/>
    <s v="1108900"/>
    <s v="142350"/>
    <n v="-2131"/>
    <n v="0"/>
    <n v="0"/>
    <m/>
    <m/>
    <s v="SALES"/>
    <n v="451275"/>
    <n v="173698"/>
    <n v="97156.476785000006"/>
    <n v="76541.523215000008"/>
    <n v="78.781699118609112"/>
    <n v="44.06586328858133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8"/>
    <x v="57"/>
    <s v="5163.50"/>
    <s v="707244.66"/>
    <n v="509"/>
    <n v="43606.03"/>
    <s v="3"/>
    <s v="9530"/>
    <s v="87577"/>
    <s v="60"/>
    <s v="88090"/>
    <s v="251322"/>
    <s v="12"/>
    <s v="14830"/>
    <s v="47800"/>
    <s v="285"/>
    <s v="25"/>
    <s v="107092"/>
    <s v="590"/>
    <s v="285975"/>
    <s v="53363"/>
    <n v="-349"/>
    <n v="0"/>
    <n v="0"/>
    <m/>
    <m/>
    <s v="SALES"/>
    <n v="1317675"/>
    <n v="251071.65"/>
    <n v="141885.67312499997"/>
    <n v="109185.97687500002"/>
    <n v="76.953489714784794"/>
    <n v="43.48797519552686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9"/>
    <x v="58"/>
    <s v="6698.00"/>
    <s v="580145.69"/>
    <n v="1889.5"/>
    <n v="223271.995"/>
    <s v="6"/>
    <s v="25300"/>
    <s v="234024"/>
    <s v="24"/>
    <s v="36600"/>
    <s v="131214"/>
    <s v="24"/>
    <s v="33614"/>
    <s v="105672"/>
    <s v="666"/>
    <s v="13"/>
    <s v="45240"/>
    <s v="672"/>
    <s v="1899055"/>
    <s v="154301"/>
    <n v="28533"/>
    <n v="1.43"/>
    <n v="0"/>
    <m/>
    <m/>
    <s v="SALES"/>
    <n v="2966475"/>
    <n v="727093.33000000007"/>
    <n v="373319.59505"/>
    <n v="353773.73495000007"/>
    <n v="94.764309090879081"/>
    <n v="48.655890564970527"/>
    <n v="0"/>
    <n v="0"/>
    <n v="0"/>
    <n v="0"/>
    <n v="0"/>
    <n v="0"/>
    <n v="4903.6799999999985"/>
    <n v="107880.95999999998"/>
    <n v="92120.190000000046"/>
    <n v="15760.769999999946"/>
    <n v="17.108920422330804"/>
    <n v="14.609408370114568"/>
    <n v="1"/>
    <n v="850"/>
    <n v="0"/>
    <n v="850"/>
    <n v="0"/>
    <n v="100"/>
  </r>
  <r>
    <n v="60"/>
    <x v="59"/>
    <s v="311506.00"/>
    <s v="738561.10"/>
    <n v="0"/>
    <n v="0"/>
    <m/>
    <m/>
    <m/>
    <m/>
    <m/>
    <m/>
    <m/>
    <m/>
    <m/>
    <m/>
    <m/>
    <m/>
    <s v="239"/>
    <s v="689775"/>
    <s v="38831"/>
    <n v="0"/>
    <n v="0"/>
    <n v="1.06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1"/>
    <x v="60"/>
    <s v="20826.00"/>
    <s v="829150.38"/>
    <n v="10696"/>
    <n v="206450.22"/>
    <s v="8"/>
    <s v="22220"/>
    <s v="205534"/>
    <s v="108"/>
    <s v="137890"/>
    <s v="405849"/>
    <s v="16"/>
    <s v="20607"/>
    <s v="82248"/>
    <s v="555"/>
    <s v="5"/>
    <s v="21666"/>
    <s v="574"/>
    <s v="3037644"/>
    <s v="72803"/>
    <n v="-4502"/>
    <n v="0"/>
    <n v="10.24"/>
    <m/>
    <m/>
    <s v="SALES"/>
    <n v="1749460"/>
    <n v="135304.54999999999"/>
    <n v="78682.797077999989"/>
    <n v="56621.752922"/>
    <n v="71.962048916321081"/>
    <n v="41.847634038914435"/>
    <n v="0"/>
    <n v="0"/>
    <n v="0"/>
    <n v="0"/>
    <n v="0"/>
    <n v="0"/>
    <n v="9022.4"/>
    <n v="214679.67999999991"/>
    <n v="184892.15999999997"/>
    <n v="29787.51999999996"/>
    <n v="16.110753425131691"/>
    <n v="13.875332774857856"/>
    <n v="72816"/>
    <n v="36632.6"/>
    <n v="0"/>
    <n v="36632.6"/>
    <n v="0"/>
    <n v="100"/>
  </r>
  <r>
    <n v="62"/>
    <x v="61"/>
    <m/>
    <m/>
    <n v="4793.0600000000004"/>
    <n v="460384.1999999999"/>
    <s v="5"/>
    <s v="16070"/>
    <s v="168525"/>
    <s v="51"/>
    <s v="74535"/>
    <s v="199208"/>
    <s v="12"/>
    <s v="16812"/>
    <s v="90139"/>
    <s v="284"/>
    <s v="7"/>
    <s v="17619"/>
    <s v="725"/>
    <s v="1831350"/>
    <s v="153723"/>
    <n v="4050"/>
    <n v="0.22"/>
    <n v="8.42"/>
    <m/>
    <m/>
    <s v="SALES"/>
    <n v="2345600"/>
    <n v="321550.84999999992"/>
    <n v="174097.06065000003"/>
    <n v="147453.78934999989"/>
    <n v="84.696311815646879"/>
    <n v="45.857067194815357"/>
    <n v="0"/>
    <n v="0"/>
    <n v="0"/>
    <n v="0"/>
    <n v="0"/>
    <n v="0"/>
    <n v="15904.369999999995"/>
    <n v="354193.68999999994"/>
    <n v="291155.66499999998"/>
    <n v="63038.024999999965"/>
    <n v="21.650969765606305"/>
    <n v="17.797613785835647"/>
    <n v="2000"/>
    <n v="5000"/>
    <n v="4500"/>
    <n v="500"/>
    <n v="11.111111111111111"/>
    <n v="10"/>
  </r>
  <r>
    <n v="63"/>
    <x v="62"/>
    <m/>
    <m/>
    <n v="0"/>
    <n v="0"/>
    <m/>
    <m/>
    <m/>
    <m/>
    <m/>
    <m/>
    <m/>
    <m/>
    <m/>
    <m/>
    <m/>
    <m/>
    <s v="32"/>
    <s v="56000"/>
    <s v="1562"/>
    <n v="0"/>
    <n v="0"/>
    <n v="2.04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"/>
    <x v="63"/>
    <s v="13532.00"/>
    <s v="165746.24"/>
    <n v="12415"/>
    <n v="138967.70000000001"/>
    <s v="6"/>
    <s v="27640"/>
    <s v="262856"/>
    <s v="72"/>
    <s v="87980"/>
    <s v="219561"/>
    <s v="13"/>
    <s v="16542"/>
    <s v="36338"/>
    <s v="323"/>
    <s v="10"/>
    <s v="32220"/>
    <s v="236"/>
    <s v="1377455"/>
    <s v="106913"/>
    <n v="0"/>
    <n v="0"/>
    <n v="3.97"/>
    <m/>
    <m/>
    <s v="SALES"/>
    <n v="1745810"/>
    <n v="302006.09999999998"/>
    <n v="214572.46674999993"/>
    <n v="87433.633250000043"/>
    <n v="40.747834321105913"/>
    <n v="28.950949417909129"/>
    <n v="0"/>
    <n v="0"/>
    <n v="0"/>
    <n v="0"/>
    <n v="0"/>
    <n v="0"/>
    <n v="1287.78"/>
    <n v="28331.16"/>
    <n v="25023.491999999998"/>
    <n v="3307.6680000000015"/>
    <n v="13.218251073830951"/>
    <n v="11.675017895490342"/>
    <n v="11643.36"/>
    <n v="66720.72"/>
    <n v="0"/>
    <n v="66720.72"/>
    <n v="0"/>
    <n v="100"/>
  </r>
  <r>
    <n v="65"/>
    <x v="64"/>
    <m/>
    <m/>
    <n v="446"/>
    <n v="38662.15"/>
    <s v="3"/>
    <s v="7970"/>
    <s v="66629"/>
    <s v="86"/>
    <s v="103470"/>
    <s v="321923"/>
    <s v="15"/>
    <s v="22075"/>
    <s v="57761"/>
    <s v="350"/>
    <s v="10"/>
    <s v="34479"/>
    <s v="520"/>
    <s v="1129620"/>
    <s v="72772"/>
    <n v="-2962"/>
    <n v="0"/>
    <n v="4.51"/>
    <m/>
    <m/>
    <s v="SALES"/>
    <n v="336200"/>
    <n v="47289.75"/>
    <n v="26794.020400000001"/>
    <n v="20495.729599999999"/>
    <n v="76.493670207103364"/>
    <n v="43.340744241616839"/>
    <n v="0"/>
    <n v="0"/>
    <n v="0"/>
    <n v="0"/>
    <n v="0"/>
    <n v="0"/>
    <n v="3752.099999999999"/>
    <n v="82545.87000000001"/>
    <n v="69317.535000000003"/>
    <n v="13228.335000000006"/>
    <n v="19.083677744743817"/>
    <n v="16.025435312511704"/>
    <n v="0"/>
    <n v="0"/>
    <n v="0"/>
    <n v="0"/>
    <n v="0"/>
    <n v="0"/>
  </r>
  <r>
    <n v="66"/>
    <x v="65"/>
    <s v="300.00"/>
    <s v="86724.00"/>
    <n v="98830"/>
    <n v="258301.2"/>
    <m/>
    <m/>
    <m/>
    <s v="90"/>
    <s v="146295"/>
    <s v="410522"/>
    <s v="17"/>
    <s v="28115"/>
    <s v="96069"/>
    <s v="590"/>
    <s v="14"/>
    <s v="60852"/>
    <s v="526"/>
    <s v="1319645"/>
    <s v="68220"/>
    <n v="0"/>
    <n v="0"/>
    <n v="18.66"/>
    <m/>
    <m/>
    <s v="SALES"/>
    <n v="2521029"/>
    <n v="31688.9"/>
    <n v="21566.184189"/>
    <n v="10122.715811000002"/>
    <n v="46.937908543705994"/>
    <n v="31.944042901457617"/>
    <n v="0"/>
    <n v="0"/>
    <n v="0"/>
    <n v="0"/>
    <n v="0"/>
    <n v="0"/>
    <n v="17415.230000000003"/>
    <n v="424157.84999999992"/>
    <n v="359401.326"/>
    <n v="64756.523999999918"/>
    <n v="18.017886778748256"/>
    <n v="15.267081347191835"/>
    <n v="0"/>
    <n v="0"/>
    <n v="0"/>
    <n v="0"/>
    <n v="0"/>
    <n v="0"/>
  </r>
  <r>
    <n v="67"/>
    <x v="66"/>
    <m/>
    <m/>
    <n v="0"/>
    <n v="0"/>
    <m/>
    <m/>
    <m/>
    <s v="39"/>
    <s v="67485"/>
    <s v="197521"/>
    <m/>
    <m/>
    <m/>
    <s v="0"/>
    <s v="1"/>
    <s v="7582"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"/>
    <x v="67"/>
    <s v="5320.00"/>
    <s v="17002.80"/>
    <n v="18261"/>
    <n v="63878.05"/>
    <m/>
    <m/>
    <m/>
    <s v="69"/>
    <s v="97770"/>
    <s v="314683"/>
    <s v="12"/>
    <s v="16215"/>
    <s v="44791"/>
    <s v="485"/>
    <s v="28"/>
    <s v="164528"/>
    <s v="315"/>
    <s v="983580"/>
    <s v="70598"/>
    <n v="-15312"/>
    <n v="0"/>
    <n v="2.0099999999999998"/>
    <m/>
    <m/>
    <s v="SALES"/>
    <n v="1088560"/>
    <n v="129963.03"/>
    <n v="97793.940979999999"/>
    <n v="32169.089019999999"/>
    <n v="32.894766994387666"/>
    <n v="24.752492320316016"/>
    <n v="0"/>
    <n v="0"/>
    <n v="0"/>
    <n v="0"/>
    <n v="0"/>
    <n v="0"/>
    <n v="0"/>
    <n v="0"/>
    <n v="0"/>
    <n v="0"/>
    <n v="0"/>
    <n v="0"/>
    <n v="653"/>
    <n v="20150"/>
    <n v="0"/>
    <n v="20150"/>
    <n v="0"/>
    <n v="100"/>
  </r>
  <r>
    <n v="69"/>
    <x v="68"/>
    <m/>
    <m/>
    <n v="65147"/>
    <n v="105502.55"/>
    <m/>
    <m/>
    <m/>
    <s v="44"/>
    <s v="66775"/>
    <s v="108086"/>
    <s v="10"/>
    <s v="13405"/>
    <s v="50600"/>
    <s v="525"/>
    <s v="14"/>
    <s v="74565"/>
    <s v="3827"/>
    <s v="397726"/>
    <s v="69976"/>
    <n v="-12126"/>
    <n v="0"/>
    <n v="6.44"/>
    <m/>
    <m/>
    <s v="SALES"/>
    <n v="723970"/>
    <n v="90467.1"/>
    <n v="61134.291129999998"/>
    <n v="29332.808869999993"/>
    <n v="47.980942164888717"/>
    <n v="32.423730693257546"/>
    <n v="0"/>
    <n v="0"/>
    <n v="0"/>
    <n v="0"/>
    <n v="0"/>
    <n v="0"/>
    <n v="16025.65"/>
    <n v="365982.85000000009"/>
    <n v="322578.4800000001"/>
    <n v="43404.369999999995"/>
    <n v="13.455445012946919"/>
    <n v="11.859673205998584"/>
    <n v="0"/>
    <n v="0"/>
    <n v="0"/>
    <n v="0"/>
    <n v="0"/>
    <n v="0"/>
  </r>
  <r>
    <n v="70"/>
    <x v="69"/>
    <m/>
    <m/>
    <n v="113"/>
    <n v="19867.800000000003"/>
    <m/>
    <m/>
    <m/>
    <m/>
    <m/>
    <m/>
    <s v="17"/>
    <s v="27656"/>
    <s v="81710"/>
    <s v="143"/>
    <s v="17"/>
    <s v="57358"/>
    <s v="13006"/>
    <s v="636617"/>
    <s v="86950"/>
    <n v="0"/>
    <n v="0"/>
    <n v="17.559999999999999"/>
    <m/>
    <m/>
    <s v="SALES"/>
    <n v="1025867"/>
    <n v="154902.25999999998"/>
    <n v="87687.721663000004"/>
    <n v="67214.538336999976"/>
    <n v="76.652166417685905"/>
    <n v="43.391580172555251"/>
    <n v="0"/>
    <n v="0"/>
    <n v="0"/>
    <n v="0"/>
    <n v="0"/>
    <n v="0"/>
    <n v="0"/>
    <n v="0"/>
    <n v="0"/>
    <n v="0"/>
    <n v="0"/>
    <n v="0"/>
    <n v="5890.4"/>
    <n v="30540.799999999999"/>
    <n v="0"/>
    <n v="30540.799999999999"/>
    <n v="0"/>
    <n v="100"/>
  </r>
  <r>
    <n v="71"/>
    <x v="70"/>
    <s v="71300.00"/>
    <s v="189984.19"/>
    <n v="65981"/>
    <n v="214375.4"/>
    <s v="6"/>
    <s v="25000"/>
    <s v="232500"/>
    <s v="20"/>
    <s v="28820"/>
    <s v="87219"/>
    <s v="10"/>
    <s v="12705"/>
    <s v="40873"/>
    <s v="195"/>
    <s v="24"/>
    <s v="89417"/>
    <s v="371"/>
    <s v="627660"/>
    <s v="98250"/>
    <n v="13551"/>
    <n v="2.0299999999999998"/>
    <n v="2.81"/>
    <m/>
    <m/>
    <s v="SALES"/>
    <n v="384160"/>
    <n v="82218.2"/>
    <n v="40106.220200000003"/>
    <n v="42111.979799999994"/>
    <n v="105.00111850480486"/>
    <n v="51.219778345913667"/>
    <n v="0"/>
    <n v="0"/>
    <n v="0"/>
    <n v="0"/>
    <n v="0"/>
    <n v="0"/>
    <n v="0"/>
    <n v="0"/>
    <n v="0"/>
    <n v="0"/>
    <n v="0"/>
    <n v="0"/>
    <n v="58811"/>
    <n v="11552"/>
    <n v="1176"/>
    <n v="10376"/>
    <n v="882.31292517006796"/>
    <n v="89.819944598337955"/>
  </r>
  <r>
    <n v="72"/>
    <x v="71"/>
    <s v="11710.00"/>
    <s v="228615.00"/>
    <n v="3164"/>
    <n v="199167.79"/>
    <s v="7"/>
    <s v="29250"/>
    <s v="272025"/>
    <s v="1"/>
    <s v="1200"/>
    <s v="5700"/>
    <s v="14"/>
    <s v="22800"/>
    <s v="68111"/>
    <s v="110"/>
    <s v="18"/>
    <s v="55123"/>
    <s v="781"/>
    <s v="1996540"/>
    <s v="175537"/>
    <n v="1"/>
    <n v="0"/>
    <n v="0.8"/>
    <m/>
    <m/>
    <s v="SALES"/>
    <n v="211700"/>
    <n v="61651.199999999997"/>
    <n v="41043.657299999999"/>
    <n v="20607.542700000002"/>
    <n v="50.208836287111282"/>
    <n v="33.426020418094048"/>
    <n v="0"/>
    <n v="0"/>
    <n v="0"/>
    <n v="0"/>
    <n v="0"/>
    <n v="0"/>
    <n v="2812.5"/>
    <n v="61875"/>
    <n v="52979.98"/>
    <n v="8895.0199999999968"/>
    <n v="16.789398561494355"/>
    <n v="14.375789898989892"/>
    <n v="0"/>
    <n v="0"/>
    <n v="0"/>
    <n v="0"/>
    <n v="0"/>
    <n v="0"/>
  </r>
  <r>
    <n v="73"/>
    <x v="72"/>
    <s v="17410.00"/>
    <s v="61313.30"/>
    <n v="20656.46"/>
    <n v="546356.07500000007"/>
    <s v="10"/>
    <s v="35550"/>
    <s v="348577"/>
    <s v="40"/>
    <s v="57010"/>
    <s v="145056"/>
    <s v="9"/>
    <s v="13946"/>
    <s v="46183"/>
    <s v="194"/>
    <s v="4"/>
    <s v="8586"/>
    <s v="459"/>
    <s v="1644276"/>
    <s v="88329"/>
    <n v="0"/>
    <n v="0"/>
    <n v="0"/>
    <m/>
    <m/>
    <s v="SALES"/>
    <n v="2014180"/>
    <n v="219110.91"/>
    <n v="112361.24163999999"/>
    <n v="106749.66836"/>
    <n v="95.005774946863625"/>
    <n v="48.719467396671398"/>
    <n v="0"/>
    <n v="0"/>
    <n v="0"/>
    <n v="0"/>
    <n v="0"/>
    <n v="0"/>
    <n v="2951.26"/>
    <n v="62707.62"/>
    <n v="55380.894999999997"/>
    <n v="7326.7249999999985"/>
    <n v="13.229697714347155"/>
    <n v="11.683946863236075"/>
    <n v="1733.46"/>
    <n v="54365.3"/>
    <n v="0"/>
    <n v="54365.3"/>
    <n v="0"/>
    <n v="100"/>
  </r>
  <r>
    <n v="74"/>
    <x v="73"/>
    <m/>
    <m/>
    <n v="1921"/>
    <n v="189066.55"/>
    <s v="8"/>
    <s v="30830"/>
    <s v="257739"/>
    <s v="113"/>
    <s v="162860"/>
    <s v="470515"/>
    <m/>
    <m/>
    <m/>
    <m/>
    <m/>
    <m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5"/>
    <x v="74"/>
    <s v="1060.00"/>
    <s v="240216.00"/>
    <n v="12351.5"/>
    <n v="441425.185"/>
    <s v="8"/>
    <s v="26295"/>
    <s v="226008"/>
    <s v="66"/>
    <s v="90845"/>
    <s v="253482"/>
    <s v="20"/>
    <s v="28655"/>
    <s v="80337"/>
    <s v="40"/>
    <s v="17"/>
    <s v="68146"/>
    <s v="1013"/>
    <s v="2066475"/>
    <s v="126222"/>
    <n v="-180"/>
    <n v="0"/>
    <n v="0"/>
    <m/>
    <m/>
    <s v="SALES"/>
    <n v="2302555"/>
    <n v="323441.14"/>
    <n v="184565.15236500007"/>
    <n v="138875.98763499994"/>
    <n v="75.244966807361209"/>
    <n v="42.937020205592873"/>
    <n v="0"/>
    <n v="0"/>
    <n v="0"/>
    <n v="0"/>
    <n v="0"/>
    <n v="0"/>
    <n v="29091.200000000001"/>
    <n v="669007.00000000012"/>
    <n v="541848.07500000007"/>
    <n v="127158.92500000005"/>
    <n v="23.467634354888137"/>
    <n v="19.007114275336431"/>
    <n v="0"/>
    <n v="0"/>
    <n v="0"/>
    <n v="0"/>
    <n v="0"/>
    <n v="0"/>
  </r>
  <r>
    <n v="76"/>
    <x v="75"/>
    <s v="10212.00"/>
    <s v="894995.15"/>
    <n v="42080.5"/>
    <n v="363168.51500000007"/>
    <s v="9"/>
    <s v="30730"/>
    <s v="274418"/>
    <s v="68"/>
    <s v="100205"/>
    <s v="254431"/>
    <s v="22"/>
    <s v="28165"/>
    <s v="94003"/>
    <s v="150"/>
    <s v="9"/>
    <s v="35443"/>
    <s v="708"/>
    <s v="2957435"/>
    <s v="94168"/>
    <n v="0"/>
    <n v="0"/>
    <n v="4.97"/>
    <m/>
    <m/>
    <s v="SALES"/>
    <n v="671025"/>
    <n v="193599.35"/>
    <n v="67695.284400000004"/>
    <n v="125904.0656"/>
    <n v="185.98646377797033"/>
    <n v="65.033310080844799"/>
    <n v="0"/>
    <n v="0"/>
    <n v="0"/>
    <n v="0"/>
    <n v="0"/>
    <n v="0"/>
    <n v="17032.29"/>
    <n v="407555.08000000007"/>
    <n v="281861.32499999984"/>
    <n v="125693.75500000024"/>
    <n v="44.594182972779365"/>
    <n v="30.840924618090938"/>
    <n v="2"/>
    <n v="1400"/>
    <n v="0"/>
    <n v="1400"/>
    <n v="0"/>
    <n v="100"/>
  </r>
  <r>
    <n v="77"/>
    <x v="76"/>
    <s v="41156.30"/>
    <s v="288447.65"/>
    <n v="66399.5"/>
    <n v="377843.25499999995"/>
    <s v="6"/>
    <s v="19770"/>
    <s v="176546"/>
    <s v="49"/>
    <s v="75250"/>
    <s v="201011"/>
    <s v="17"/>
    <s v="25978"/>
    <s v="88543"/>
    <s v="132"/>
    <s v="18"/>
    <s v="73782"/>
    <s v="779"/>
    <s v="2842122"/>
    <s v="158403"/>
    <n v="37782"/>
    <n v="1.1200000000000001"/>
    <n v="12.67"/>
    <m/>
    <m/>
    <s v="SALES"/>
    <n v="3124426"/>
    <n v="155614.71"/>
    <n v="97848.975753999955"/>
    <n v="57765.734246000022"/>
    <n v="59.035604410645668"/>
    <n v="37.1209985521291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8"/>
    <x v="77"/>
    <s v="240.00"/>
    <s v="80532.00"/>
    <n v="14670"/>
    <n v="60328.2"/>
    <m/>
    <m/>
    <m/>
    <s v="104"/>
    <s v="153680"/>
    <s v="389570"/>
    <s v="7"/>
    <s v="9035"/>
    <s v="29483"/>
    <s v="175"/>
    <s v="12"/>
    <s v="47604"/>
    <s v="422"/>
    <s v="693100"/>
    <s v="51766"/>
    <n v="0"/>
    <n v="0"/>
    <n v="3.37"/>
    <m/>
    <m/>
    <s v="SALES"/>
    <n v="1908750"/>
    <n v="227779.32"/>
    <n v="121278.42114999999"/>
    <n v="106500.89885"/>
    <n v="87.815208872382314"/>
    <n v="46.756175604528103"/>
    <n v="0"/>
    <n v="0"/>
    <n v="0"/>
    <n v="0"/>
    <n v="0"/>
    <n v="0"/>
    <n v="931.67"/>
    <n v="25913.43"/>
    <n v="22455.441999999999"/>
    <n v="3457.9880000000012"/>
    <n v="15.39933170765466"/>
    <n v="13.344385517471061"/>
    <n v="417.72"/>
    <n v="11278.44"/>
    <n v="0"/>
    <n v="11278.44"/>
    <n v="0"/>
    <n v="100"/>
  </r>
  <r>
    <n v="79"/>
    <x v="78"/>
    <s v="2.00"/>
    <s v="1134.00"/>
    <n v="32649.5"/>
    <n v="278737.73499999999"/>
    <s v="5"/>
    <s v="16950"/>
    <s v="157125"/>
    <s v="98"/>
    <s v="112744"/>
    <s v="305165"/>
    <s v="18"/>
    <s v="25130"/>
    <s v="76120"/>
    <s v="1000"/>
    <s v="16"/>
    <s v="59345"/>
    <s v="518"/>
    <s v="1176450"/>
    <s v="90762"/>
    <n v="0"/>
    <n v="0"/>
    <n v="8.6300000000000008"/>
    <m/>
    <m/>
    <s v="SALES"/>
    <n v="1053120"/>
    <n v="221626.14"/>
    <n v="92807.911059999999"/>
    <n v="128818.22893999996"/>
    <n v="138.80091413405415"/>
    <n v="58.124113401063603"/>
    <n v="0"/>
    <n v="0"/>
    <n v="0"/>
    <n v="0"/>
    <n v="0"/>
    <n v="0"/>
    <n v="19194.170000000016"/>
    <n v="447461.00000000012"/>
    <n v="341276.2699999999"/>
    <n v="106184.7300000002"/>
    <n v="31.114009186750735"/>
    <n v="23.730499417826401"/>
    <n v="9"/>
    <n v="6550"/>
    <n v="0"/>
    <n v="6550"/>
    <n v="0"/>
    <n v="100"/>
  </r>
  <r>
    <n v="80"/>
    <x v="79"/>
    <s v="29190.00"/>
    <s v="101235.50"/>
    <n v="53528"/>
    <n v="429999.90000000008"/>
    <s v="10"/>
    <s v="32720"/>
    <s v="307850"/>
    <s v="71"/>
    <s v="104475"/>
    <s v="297913"/>
    <s v="17"/>
    <s v="22700"/>
    <s v="69070"/>
    <s v="120"/>
    <s v="7"/>
    <s v="16932"/>
    <s v="968"/>
    <s v="1481520"/>
    <s v="112331"/>
    <n v="0"/>
    <n v="0"/>
    <n v="17.75"/>
    <m/>
    <m/>
    <s v="SALES"/>
    <n v="918370"/>
    <n v="200998.34"/>
    <n v="102270.24727000001"/>
    <n v="98728.092730000004"/>
    <n v="96.536476018632797"/>
    <n v="49.118859752772096"/>
    <n v="0"/>
    <n v="0"/>
    <n v="0"/>
    <n v="0"/>
    <n v="0"/>
    <n v="0"/>
    <n v="9616.1200000000008"/>
    <n v="228868.16"/>
    <n v="171237.69600000005"/>
    <n v="57630.463999999978"/>
    <n v="33.655243761280204"/>
    <n v="25.180638495105644"/>
    <n v="0"/>
    <n v="0"/>
    <n v="0"/>
    <n v="0"/>
    <n v="0"/>
    <n v="0"/>
  </r>
  <r>
    <n v="81"/>
    <x v="80"/>
    <s v="800.00"/>
    <s v="177600.00"/>
    <n v="10280"/>
    <n v="71155.3"/>
    <m/>
    <m/>
    <m/>
    <s v="7"/>
    <s v="9980"/>
    <s v="27616"/>
    <s v="3"/>
    <s v="5430"/>
    <s v="16141"/>
    <s v="0"/>
    <m/>
    <m/>
    <s v="12"/>
    <s v="138000"/>
    <s v="4882"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2"/>
    <x v="81"/>
    <s v="47200.00"/>
    <s v="126147.38"/>
    <n v="51313.7"/>
    <n v="291587.34999999998"/>
    <s v="5"/>
    <s v="13250"/>
    <s v="131393"/>
    <s v="88"/>
    <s v="112935"/>
    <s v="296835"/>
    <s v="14"/>
    <s v="19570"/>
    <s v="50324"/>
    <s v="340"/>
    <s v="12"/>
    <s v="47275"/>
    <s v="528"/>
    <s v="1751132"/>
    <s v="73073"/>
    <n v="-7924"/>
    <n v="0"/>
    <n v="5.07"/>
    <m/>
    <m/>
    <s v="SALES"/>
    <n v="2904824"/>
    <n v="79190.259999999995"/>
    <n v="60805.71465200001"/>
    <n v="18384.545347999985"/>
    <n v="30.234897251380772"/>
    <n v="23.215664840600329"/>
    <n v="0"/>
    <n v="0"/>
    <n v="0"/>
    <n v="0"/>
    <n v="0"/>
    <n v="0"/>
    <n v="4745.5599999999986"/>
    <n v="110072.42"/>
    <n v="93085.214999999953"/>
    <n v="16987.205000000031"/>
    <n v="18.249090363061455"/>
    <n v="15.432753272799882"/>
    <n v="3543.2"/>
    <n v="52304"/>
    <n v="0"/>
    <n v="52304"/>
    <n v="0"/>
    <n v="100"/>
  </r>
  <r>
    <n v="83"/>
    <x v="82"/>
    <s v="21670.00"/>
    <s v="506794.40"/>
    <n v="50"/>
    <n v="19650"/>
    <m/>
    <m/>
    <m/>
    <s v="61"/>
    <s v="74340"/>
    <s v="208340"/>
    <s v="22"/>
    <s v="32435"/>
    <s v="106447"/>
    <s v="150"/>
    <s v="22"/>
    <s v="103855"/>
    <s v="537"/>
    <s v="1568400"/>
    <s v="87036"/>
    <n v="5460"/>
    <n v="0.33"/>
    <n v="1.57"/>
    <m/>
    <m/>
    <s v="SALES"/>
    <n v="1300000"/>
    <n v="49400"/>
    <n v="36691.847999999998"/>
    <n v="12708.152000000002"/>
    <n v="34.634810435277075"/>
    <n v="25.725004048582999"/>
    <n v="0"/>
    <n v="0"/>
    <n v="0"/>
    <n v="0"/>
    <n v="0"/>
    <n v="0"/>
    <n v="13960.1"/>
    <n v="337427.86"/>
    <n v="258294.97500000003"/>
    <n v="79132.884999999951"/>
    <n v="30.63663356207373"/>
    <n v="23.45179351817599"/>
    <n v="0"/>
    <n v="0"/>
    <n v="0"/>
    <n v="0"/>
    <n v="0"/>
    <n v="0"/>
  </r>
  <r>
    <n v="84"/>
    <x v="83"/>
    <m/>
    <m/>
    <n v="31395"/>
    <n v="207974.64"/>
    <s v="4"/>
    <s v="11850"/>
    <s v="119803"/>
    <s v="114"/>
    <s v="162594"/>
    <s v="385255"/>
    <s v="19"/>
    <s v="29077"/>
    <s v="71824"/>
    <s v="220"/>
    <s v="5"/>
    <s v="8763"/>
    <s v="700"/>
    <s v="1600600"/>
    <s v="124364"/>
    <n v="17200"/>
    <n v="1.01"/>
    <n v="0"/>
    <m/>
    <m/>
    <s v="SALES"/>
    <n v="2097965"/>
    <n v="343358.65"/>
    <n v="160595.39012500001"/>
    <n v="182763.25987499999"/>
    <n v="113.80355297418288"/>
    <n v="53.2280925134695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5"/>
    <x v="84"/>
    <s v="3945.00"/>
    <s v="19251.60"/>
    <n v="2452"/>
    <n v="283505.8"/>
    <s v="8"/>
    <s v="26470"/>
    <s v="254392"/>
    <s v="62"/>
    <s v="73975"/>
    <s v="179027"/>
    <s v="27"/>
    <s v="35045"/>
    <s v="94324"/>
    <s v="70"/>
    <s v="17"/>
    <s v="56253"/>
    <s v="614"/>
    <s v="1899448"/>
    <s v="163081"/>
    <n v="10820"/>
    <n v="0.53"/>
    <n v="1"/>
    <m/>
    <m/>
    <s v="SALES"/>
    <n v="1322628"/>
    <n v="153587.07"/>
    <n v="85849.560112000021"/>
    <n v="67737.509887999986"/>
    <n v="78.902570729109257"/>
    <n v="44.103653965141717"/>
    <n v="0"/>
    <n v="0"/>
    <n v="0"/>
    <n v="0"/>
    <n v="0"/>
    <n v="0"/>
    <n v="9887.2700000000023"/>
    <n v="240877.1999999999"/>
    <n v="183098.07500000001"/>
    <n v="57779.124999999913"/>
    <n v="31.556380371557658"/>
    <n v="23.986963066658006"/>
    <n v="565.54"/>
    <n v="14900.88"/>
    <n v="0"/>
    <n v="14900.88"/>
    <n v="0"/>
    <n v="100"/>
  </r>
  <r>
    <n v="86"/>
    <x v="85"/>
    <s v="31318.00"/>
    <s v="58857.29"/>
    <n v="56855.5"/>
    <n v="357297.36499999999"/>
    <s v="9"/>
    <s v="28370"/>
    <s v="261035"/>
    <s v="37"/>
    <s v="54568"/>
    <s v="86043"/>
    <s v="28"/>
    <s v="45405"/>
    <s v="100671"/>
    <s v="30"/>
    <s v="5"/>
    <s v="22342"/>
    <s v="581"/>
    <s v="2185732"/>
    <s v="128360"/>
    <n v="-3941"/>
    <n v="0"/>
    <n v="11.11"/>
    <m/>
    <m/>
    <s v="SALES"/>
    <n v="954060"/>
    <n v="106243.34"/>
    <n v="62380.536680000005"/>
    <n v="43862.803319999992"/>
    <n v="70.314886107837808"/>
    <n v="41.285226273948084"/>
    <n v="0"/>
    <n v="0"/>
    <n v="0"/>
    <n v="0"/>
    <n v="0"/>
    <n v="0"/>
    <n v="1755.2299999999996"/>
    <n v="47848.869999999995"/>
    <n v="40004.69"/>
    <n v="7844.179999999993"/>
    <n v="19.608150944301759"/>
    <n v="16.393657781260025"/>
    <n v="4"/>
    <n v="3000"/>
    <n v="0"/>
    <n v="3000"/>
    <n v="0"/>
    <n v="100"/>
  </r>
  <r>
    <n v="87"/>
    <x v="86"/>
    <s v="1200.00"/>
    <s v="266400.00"/>
    <n v="1603.5"/>
    <n v="178301.23500000002"/>
    <s v="8"/>
    <s v="24900"/>
    <s v="222355"/>
    <m/>
    <m/>
    <m/>
    <s v="31"/>
    <s v="46865"/>
    <s v="118448"/>
    <s v="0"/>
    <s v="6"/>
    <s v="20016"/>
    <s v="659"/>
    <s v="2347030"/>
    <s v="146645"/>
    <n v="56582"/>
    <n v="2.2400000000000002"/>
    <n v="2.91"/>
    <m/>
    <m/>
    <s v="SALES"/>
    <n v="4246802"/>
    <n v="562670.70000000007"/>
    <n v="326472.56777000002"/>
    <n v="236198.13223000005"/>
    <n v="72.348538758822045"/>
    <n v="41.978040127200508"/>
    <n v="0"/>
    <n v="0"/>
    <n v="0"/>
    <n v="0"/>
    <n v="0"/>
    <n v="0"/>
    <n v="5743.6"/>
    <n v="137846.40000000002"/>
    <n v="102016.53999999998"/>
    <n v="35829.860000000044"/>
    <n v="35.121618514017484"/>
    <n v="25.992597557861529"/>
    <n v="1440"/>
    <n v="38880"/>
    <n v="0"/>
    <n v="38880"/>
    <n v="0"/>
    <n v="100"/>
  </r>
  <r>
    <n v="88"/>
    <x v="87"/>
    <m/>
    <m/>
    <n v="0"/>
    <n v="0"/>
    <m/>
    <m/>
    <m/>
    <s v="28"/>
    <s v="56025"/>
    <s v="165050"/>
    <s v="5"/>
    <s v="7485"/>
    <s v="22382"/>
    <s v="20"/>
    <m/>
    <m/>
    <s v="15"/>
    <s v="65400"/>
    <s v="3123"/>
    <n v="58400"/>
    <n v="22.42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9"/>
    <x v="88"/>
    <s v="6853.90"/>
    <s v="916224.96"/>
    <n v="5953.5"/>
    <n v="289609.28000000003"/>
    <s v="8"/>
    <s v="23850"/>
    <s v="244651"/>
    <s v="59"/>
    <s v="86750"/>
    <s v="230690"/>
    <s v="14"/>
    <s v="16755"/>
    <s v="40001"/>
    <s v="150"/>
    <s v="9"/>
    <s v="28985"/>
    <s v="399"/>
    <s v="1903492"/>
    <s v="92273"/>
    <n v="27650"/>
    <n v="1.37"/>
    <n v="0"/>
    <m/>
    <m/>
    <s v="SALES"/>
    <n v="468472"/>
    <n v="47173.579999999994"/>
    <n v="38196.122367999989"/>
    <n v="8977.4576320000051"/>
    <n v="23.50358380755727"/>
    <n v="19.030689703855433"/>
    <n v="0"/>
    <n v="0"/>
    <n v="0"/>
    <n v="0"/>
    <n v="0"/>
    <n v="0"/>
    <n v="9169.65"/>
    <n v="220071.6"/>
    <n v="168630.99"/>
    <n v="51440.610000000015"/>
    <n v="30.504837811839938"/>
    <n v="23.374488121138761"/>
    <n v="750.94"/>
    <n v="19073.259999999998"/>
    <n v="0"/>
    <n v="19073.259999999998"/>
    <n v="0"/>
    <n v="100"/>
  </r>
  <r>
    <n v="90"/>
    <x v="89"/>
    <s v="17760.00"/>
    <s v="54294.30"/>
    <n v="35351.920000000013"/>
    <n v="298469.18199999997"/>
    <s v="8"/>
    <s v="20290"/>
    <s v="252436"/>
    <s v="85"/>
    <s v="129355"/>
    <s v="294519"/>
    <s v="13"/>
    <s v="14550"/>
    <s v="37467"/>
    <s v="215"/>
    <s v="20"/>
    <s v="68822"/>
    <s v="144"/>
    <s v="596660"/>
    <s v="27859"/>
    <n v="37664"/>
    <n v="5.87"/>
    <n v="0.34"/>
    <m/>
    <m/>
    <s v="SALES"/>
    <n v="1678200"/>
    <n v="230318"/>
    <n v="82248.831650000007"/>
    <n v="148069.16834999999"/>
    <n v="180.02586222755176"/>
    <n v="64.289012734566981"/>
    <n v="0"/>
    <n v="0"/>
    <n v="0"/>
    <n v="0"/>
    <n v="0"/>
    <n v="0"/>
    <n v="10293.280000000001"/>
    <n v="244710.84000000003"/>
    <n v="184316.68499999997"/>
    <n v="60394.155000000057"/>
    <n v="32.766515413403873"/>
    <n v="24.679803722630371"/>
    <n v="0"/>
    <n v="0"/>
    <n v="0"/>
    <n v="0"/>
    <n v="0"/>
    <n v="0"/>
  </r>
  <r>
    <n v="91"/>
    <x v="90"/>
    <s v="224296.80"/>
    <s v="584138.66"/>
    <n v="27104.520000000004"/>
    <n v="359274.26800000004"/>
    <s v="8"/>
    <s v="18890"/>
    <s v="257296"/>
    <s v="105"/>
    <s v="147080"/>
    <s v="256044"/>
    <s v="16"/>
    <s v="20510"/>
    <s v="77213"/>
    <s v="160"/>
    <s v="10"/>
    <s v="51041"/>
    <s v="823"/>
    <s v="2416850"/>
    <s v="103136"/>
    <n v="53999"/>
    <n v="2.4700000000000002"/>
    <n v="0"/>
    <m/>
    <m/>
    <s v="SALES"/>
    <n v="396760"/>
    <n v="39068"/>
    <n v="23541.102920000001"/>
    <n v="15526.897080000002"/>
    <n v="65.956540493303294"/>
    <n v="39.743260673697151"/>
    <n v="0"/>
    <n v="0"/>
    <n v="0"/>
    <n v="0"/>
    <n v="0"/>
    <n v="0"/>
    <n v="4539.32"/>
    <n v="108943.2"/>
    <n v="80672.36"/>
    <n v="28270.839999999997"/>
    <n v="35.044022512791237"/>
    <n v="25.950073065597483"/>
    <n v="352011"/>
    <n v="71974.600000000006"/>
    <n v="0"/>
    <n v="71974.600000000006"/>
    <n v="0"/>
    <n v="100"/>
  </r>
  <r>
    <n v="92"/>
    <x v="91"/>
    <s v="11372.00"/>
    <s v="955248.00"/>
    <n v="1712"/>
    <n v="180964.9"/>
    <s v="6"/>
    <s v="20710"/>
    <s v="197366"/>
    <s v="64"/>
    <s v="88725"/>
    <s v="144059"/>
    <s v="9"/>
    <s v="11920"/>
    <s v="35158"/>
    <s v="140"/>
    <s v="17"/>
    <s v="73925"/>
    <s v="518"/>
    <s v="724765"/>
    <s v="54136"/>
    <n v="0"/>
    <n v="0"/>
    <n v="1.1399999999999999"/>
    <m/>
    <m/>
    <s v="SALES"/>
    <n v="3731900"/>
    <n v="286528.20000000007"/>
    <n v="137547.80706499997"/>
    <n v="148980.3929350001"/>
    <n v="108.31171802295438"/>
    <n v="51.995019315725308"/>
    <n v="0"/>
    <n v="0"/>
    <n v="0"/>
    <n v="0"/>
    <n v="0"/>
    <n v="0"/>
    <n v="2427.96"/>
    <n v="58271.400000000009"/>
    <n v="45971.279999999992"/>
    <n v="12300.120000000015"/>
    <n v="26.756096414979137"/>
    <n v="21.108331016587918"/>
    <n v="498.08"/>
    <n v="16260.16"/>
    <n v="0"/>
    <n v="16260.16"/>
    <n v="0"/>
    <n v="100"/>
  </r>
  <r>
    <n v="93"/>
    <x v="92"/>
    <s v="4504.00"/>
    <s v="635576.00"/>
    <n v="30822"/>
    <n v="345371.12"/>
    <s v="6"/>
    <s v="21880"/>
    <s v="208516"/>
    <s v="67"/>
    <s v="99582"/>
    <s v="234738"/>
    <s v="2"/>
    <s v="4600"/>
    <s v="10880"/>
    <s v="0"/>
    <s v="8"/>
    <s v="31486"/>
    <s v="794"/>
    <s v="787475"/>
    <s v="65204"/>
    <n v="-9687"/>
    <n v="0"/>
    <n v="0"/>
    <m/>
    <m/>
    <s v="SALES"/>
    <n v="1062835"/>
    <n v="152402.88999999998"/>
    <n v="102334.89676"/>
    <n v="50067.993240000003"/>
    <n v="48.9256302836964"/>
    <n v="32.852390948754319"/>
    <n v="0"/>
    <n v="0"/>
    <n v="0"/>
    <n v="0"/>
    <n v="0"/>
    <n v="0"/>
    <n v="2135.9400000000005"/>
    <n v="81165.150000000009"/>
    <n v="53466.704999999994"/>
    <n v="27698.445000000014"/>
    <n v="51.805034553747078"/>
    <n v="34.126031923799822"/>
    <n v="3841.6"/>
    <n v="97364"/>
    <n v="0"/>
    <n v="97364"/>
    <n v="0"/>
    <n v="100"/>
  </r>
  <r>
    <n v="94"/>
    <x v="93"/>
    <s v="66660.00"/>
    <s v="230205.50"/>
    <n v="81568"/>
    <n v="483071.03999999992"/>
    <s v="6"/>
    <s v="23190"/>
    <s v="219377"/>
    <s v="162"/>
    <s v="230855"/>
    <s v="638441"/>
    <s v="21"/>
    <s v="33970"/>
    <s v="103837"/>
    <s v="96"/>
    <s v="50"/>
    <s v="94028"/>
    <s v="300"/>
    <s v="1586850"/>
    <s v="100446"/>
    <n v="0"/>
    <n v="0"/>
    <n v="2.46"/>
    <m/>
    <m/>
    <s v="SALES"/>
    <n v="288850"/>
    <n v="53060"/>
    <n v="12720.265799999999"/>
    <n v="40339.734199999999"/>
    <n v="317.12964834429795"/>
    <n v="76.026638145495667"/>
    <n v="0"/>
    <n v="0"/>
    <n v="0"/>
    <n v="0"/>
    <n v="0"/>
    <n v="0"/>
    <n v="9657.9599999999991"/>
    <n v="221233.31"/>
    <n v="172340.44899999991"/>
    <n v="48892.861000000092"/>
    <n v="28.369927828144466"/>
    <n v="22.100135372923766"/>
    <n v="0"/>
    <n v="0"/>
    <n v="0"/>
    <n v="0"/>
    <n v="0"/>
    <n v="0"/>
  </r>
  <r>
    <n v="95"/>
    <x v="94"/>
    <s v="3853.00"/>
    <s v="506115.00"/>
    <n v="0"/>
    <n v="0"/>
    <m/>
    <m/>
    <m/>
    <m/>
    <m/>
    <m/>
    <m/>
    <m/>
    <m/>
    <s v="0"/>
    <s v="1"/>
    <s v="1783"/>
    <s v="239"/>
    <s v="284500"/>
    <s v="26768"/>
    <n v="0"/>
    <n v="0"/>
    <n v="0.89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6"/>
    <x v="95"/>
    <m/>
    <m/>
    <n v="0"/>
    <n v="0"/>
    <m/>
    <m/>
    <m/>
    <m/>
    <m/>
    <m/>
    <s v="6"/>
    <s v="10750"/>
    <s v="38504"/>
    <s v="20"/>
    <s v="2"/>
    <s v="11894"/>
    <s v="28"/>
    <s v="236900"/>
    <s v="13774"/>
    <n v="0"/>
    <n v="0"/>
    <n v="17.239999999999998"/>
    <m/>
    <m/>
    <s v="SALES"/>
    <n v="0"/>
    <n v="0"/>
    <n v="0"/>
    <n v="0"/>
    <n v="0"/>
    <n v="0"/>
    <n v="0"/>
    <n v="0"/>
    <n v="0"/>
    <n v="0"/>
    <n v="0"/>
    <n v="0"/>
    <n v="13297.340000000002"/>
    <n v="299189.36"/>
    <n v="249809.86599999989"/>
    <n v="49379.494000000093"/>
    <n v="19.76683098657125"/>
    <n v="16.504428499730103"/>
    <n v="0"/>
    <n v="0"/>
    <n v="0"/>
    <n v="0"/>
    <n v="0"/>
    <n v="0"/>
  </r>
  <r>
    <n v="97"/>
    <x v="96"/>
    <s v="37115.00"/>
    <s v="143106.37"/>
    <n v="39757"/>
    <n v="432647.35"/>
    <s v="8"/>
    <s v="21680"/>
    <s v="201414"/>
    <s v="35"/>
    <s v="52565"/>
    <s v="213992"/>
    <s v="14"/>
    <s v="20220"/>
    <s v="59591"/>
    <s v="120"/>
    <s v="12"/>
    <s v="68819"/>
    <s v="537"/>
    <s v="1220767"/>
    <s v="104644"/>
    <n v="0"/>
    <n v="0"/>
    <n v="7.39"/>
    <m/>
    <m/>
    <s v="SALES"/>
    <n v="683722"/>
    <n v="74863.59"/>
    <n v="65015.006465999999"/>
    <n v="9848.5835339999976"/>
    <n v="15.148169737013523"/>
    <n v="13.155371702051688"/>
    <n v="0"/>
    <n v="0"/>
    <n v="0"/>
    <n v="0"/>
    <n v="0"/>
    <n v="0"/>
    <n v="3032.8199999999997"/>
    <n v="98566.64"/>
    <n v="77291.19"/>
    <n v="21275.449999999997"/>
    <n v="27.526358437488145"/>
    <n v="21.584838440267415"/>
    <n v="2753.1000000000004"/>
    <n v="29311.200000000001"/>
    <n v="6417"/>
    <n v="22894.2"/>
    <n v="356.77419354838713"/>
    <n v="78.10734463276836"/>
  </r>
  <r>
    <n v="98"/>
    <x v="97"/>
    <s v="2000.00"/>
    <s v="540000.00"/>
    <n v="44607"/>
    <n v="323474.40000000002"/>
    <s v="8"/>
    <s v="31520"/>
    <s v="291075"/>
    <s v="119"/>
    <s v="170825"/>
    <s v="519335"/>
    <s v="4"/>
    <s v="6000"/>
    <s v="17790"/>
    <s v="0"/>
    <s v="52"/>
    <s v="178511"/>
    <s v="287"/>
    <s v="1406100"/>
    <s v="109632"/>
    <n v="0"/>
    <n v="0"/>
    <n v="4.58"/>
    <m/>
    <m/>
    <s v="SALES"/>
    <n v="1020250"/>
    <n v="120328.6"/>
    <n v="77738.338300000003"/>
    <n v="42590.261699999988"/>
    <n v="54.786689079511731"/>
    <n v="35.394961546963884"/>
    <n v="0"/>
    <n v="0"/>
    <n v="0"/>
    <n v="0"/>
    <n v="0"/>
    <n v="0"/>
    <n v="13278.65"/>
    <n v="318687.59999999998"/>
    <n v="245851.87"/>
    <n v="72835.729999999981"/>
    <n v="29.625859669076338"/>
    <n v="22.854899280674864"/>
    <n v="0"/>
    <n v="0"/>
    <n v="0"/>
    <n v="0"/>
    <n v="0"/>
    <n v="0"/>
  </r>
  <r>
    <n v="99"/>
    <x v="98"/>
    <m/>
    <m/>
    <n v="2345"/>
    <n v="281944"/>
    <s v="8"/>
    <s v="27310"/>
    <s v="250160"/>
    <s v="53"/>
    <s v="77975"/>
    <s v="248667"/>
    <s v="9"/>
    <s v="12040"/>
    <s v="48955"/>
    <s v="235"/>
    <s v="86"/>
    <s v="181966"/>
    <s v="1195"/>
    <s v="1813321"/>
    <s v="422334"/>
    <n v="0"/>
    <n v="0"/>
    <n v="22.45"/>
    <m/>
    <m/>
    <s v="SALES"/>
    <n v="548771"/>
    <n v="356281.4"/>
    <n v="240330.92519600023"/>
    <n v="115950.47480399979"/>
    <n v="48.246173358437822"/>
    <n v="32.544633203978591"/>
    <n v="0"/>
    <n v="0"/>
    <n v="0"/>
    <n v="0"/>
    <n v="0"/>
    <n v="0"/>
    <n v="11662.72"/>
    <n v="279905.27999999991"/>
    <n v="213975.12500000009"/>
    <n v="65930.154999999853"/>
    <n v="30.81206518748375"/>
    <n v="23.554452063212196"/>
    <n v="7"/>
    <n v="3850"/>
    <n v="0"/>
    <n v="3850"/>
    <n v="0"/>
    <n v="100"/>
  </r>
  <r>
    <n v="100"/>
    <x v="99"/>
    <s v="13980.00"/>
    <s v="42502.20"/>
    <n v="16231"/>
    <n v="284695"/>
    <s v="8"/>
    <s v="30820"/>
    <s v="295228"/>
    <s v="87"/>
    <s v="130275"/>
    <s v="246753"/>
    <s v="15"/>
    <s v="24890"/>
    <s v="56086"/>
    <s v="160"/>
    <s v="16"/>
    <s v="72909"/>
    <s v="198"/>
    <s v="594080"/>
    <s v="69691"/>
    <n v="0"/>
    <n v="0"/>
    <n v="35.44"/>
    <m/>
    <m/>
    <s v="SALES"/>
    <n v="2101690"/>
    <n v="511574.16"/>
    <n v="283098.69783000002"/>
    <n v="228475.46216999996"/>
    <n v="80.705232458256958"/>
    <n v="44.661259311846393"/>
    <n v="0"/>
    <n v="0"/>
    <n v="0"/>
    <n v="0"/>
    <n v="0"/>
    <n v="0"/>
    <n v="5845.24"/>
    <n v="137654.46"/>
    <n v="106720.02999999998"/>
    <n v="30934.430000000008"/>
    <n v="28.986526709184783"/>
    <n v="22.472522866313241"/>
    <n v="1932.84"/>
    <n v="43488.9"/>
    <n v="0"/>
    <n v="43488.9"/>
    <n v="0"/>
    <n v="100"/>
  </r>
  <r>
    <n v="101"/>
    <x v="100"/>
    <s v="50100.00"/>
    <s v="973365.21"/>
    <n v="49404"/>
    <n v="360940.2"/>
    <s v="9"/>
    <s v="30470"/>
    <s v="293731"/>
    <s v="98"/>
    <s v="146315"/>
    <s v="394761"/>
    <s v="16"/>
    <s v="23570"/>
    <s v="41103"/>
    <s v="125"/>
    <s v="20"/>
    <s v="56638"/>
    <s v="766"/>
    <s v="1575335"/>
    <s v="150044"/>
    <n v="-477"/>
    <n v="0"/>
    <n v="6.89"/>
    <m/>
    <m/>
    <s v="SALES"/>
    <n v="376835"/>
    <n v="54821"/>
    <n v="21163.257549999998"/>
    <n v="33657.742450000005"/>
    <n v="159.03857130916978"/>
    <n v="61.395710494153711"/>
    <n v="0"/>
    <n v="0"/>
    <n v="0"/>
    <n v="0"/>
    <n v="0"/>
    <n v="0"/>
    <n v="8730.0299999999988"/>
    <n v="205155.69"/>
    <n v="157341.71999999997"/>
    <n v="47813.97000000003"/>
    <n v="30.388615301777584"/>
    <n v="23.306187608055147"/>
    <n v="0"/>
    <n v="0"/>
    <n v="0"/>
    <n v="0"/>
    <n v="0"/>
    <n v="0"/>
  </r>
  <r>
    <n v="102"/>
    <x v="101"/>
    <s v="88080.00"/>
    <s v="265495.14"/>
    <n v="92300"/>
    <n v="589281.4"/>
    <s v="9"/>
    <s v="28440"/>
    <s v="278609"/>
    <s v="98"/>
    <s v="153375"/>
    <s v="468517"/>
    <s v="5"/>
    <s v="5910"/>
    <s v="16499"/>
    <s v="105"/>
    <s v="17"/>
    <s v="53501"/>
    <s v="540"/>
    <s v="2293190"/>
    <s v="79520"/>
    <n v="9000"/>
    <n v="0.37"/>
    <n v="3.91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3"/>
    <x v="102"/>
    <s v="17600.00"/>
    <s v="41754.50"/>
    <n v="17627"/>
    <n v="44263.5"/>
    <m/>
    <m/>
    <m/>
    <s v="12"/>
    <s v="17600"/>
    <s v="41712"/>
    <m/>
    <m/>
    <m/>
    <s v="0"/>
    <s v="4"/>
    <s v="9291"/>
    <s v="105"/>
    <s v="212040"/>
    <s v="9754"/>
    <n v="0"/>
    <n v="0"/>
    <n v="19.489999999999998"/>
    <m/>
    <m/>
    <s v="SALES"/>
    <n v="2304460"/>
    <n v="255426.55999999997"/>
    <n v="125957.85123999996"/>
    <n v="129468.70875999999"/>
    <n v="102.78732725704448"/>
    <n v="50.687253807904717"/>
    <n v="0"/>
    <n v="0"/>
    <n v="0"/>
    <n v="0"/>
    <n v="0"/>
    <n v="0"/>
    <n v="2452.71"/>
    <n v="58864.68"/>
    <n v="44440.805"/>
    <n v="14423.875"/>
    <n v="32.456376521532405"/>
    <n v="24.503445869407596"/>
    <n v="16"/>
    <n v="11750"/>
    <n v="0"/>
    <n v="11750"/>
    <n v="0"/>
    <n v="100"/>
  </r>
  <r>
    <n v="104"/>
    <x v="103"/>
    <s v="26319.70"/>
    <s v="180103.00"/>
    <n v="1662"/>
    <n v="167300.84"/>
    <s v="8"/>
    <s v="23550"/>
    <s v="235734"/>
    <s v="75"/>
    <s v="90102"/>
    <s v="279820"/>
    <s v="3"/>
    <s v="2340"/>
    <s v="5808"/>
    <s v="60"/>
    <s v="11"/>
    <s v="20916"/>
    <s v="655"/>
    <s v="1312565"/>
    <s v="87378"/>
    <n v="0"/>
    <n v="0"/>
    <n v="5.16"/>
    <m/>
    <m/>
    <s v="SALES"/>
    <n v="1458940"/>
    <n v="256809.65999999997"/>
    <n v="130732.01682000003"/>
    <n v="126077.64317999994"/>
    <n v="96.439759935465162"/>
    <n v="49.093808690841286"/>
    <n v="0"/>
    <n v="0"/>
    <n v="0"/>
    <n v="0"/>
    <n v="0"/>
    <n v="0"/>
    <n v="9914.0699999999979"/>
    <n v="272729.12000000005"/>
    <n v="195481.89999999997"/>
    <n v="77247.220000000088"/>
    <n v="39.516303043913581"/>
    <n v="28.323788820203749"/>
    <n v="414.4"/>
    <n v="12017.6"/>
    <n v="0"/>
    <n v="12017.6"/>
    <n v="0"/>
    <n v="100"/>
  </r>
  <r>
    <n v="105"/>
    <x v="104"/>
    <m/>
    <m/>
    <n v="26265"/>
    <n v="151883"/>
    <s v="3"/>
    <s v="12000"/>
    <s v="120120"/>
    <s v="89"/>
    <s v="114345"/>
    <s v="334808"/>
    <s v="6"/>
    <s v="11910"/>
    <s v="37992"/>
    <s v="0"/>
    <s v="11"/>
    <s v="27355"/>
    <s v="319"/>
    <s v="710270"/>
    <s v="53668"/>
    <n v="-9724"/>
    <n v="0"/>
    <n v="7"/>
    <m/>
    <m/>
    <s v="SALES"/>
    <n v="1844290"/>
    <n v="158353.43"/>
    <n v="108616.96150600002"/>
    <n v="49736.468493999972"/>
    <n v="45.790701382539147"/>
    <n v="31.408519849554239"/>
    <n v="0"/>
    <n v="0"/>
    <n v="0"/>
    <n v="0"/>
    <n v="0"/>
    <n v="0"/>
    <n v="6487.5"/>
    <n v="116774.96000000002"/>
    <n v="113425.685"/>
    <n v="3349.2750000000087"/>
    <n v="2.9528364761473633"/>
    <n v="2.8681448488614412"/>
    <n v="343.24"/>
    <n v="12959.48"/>
    <n v="0"/>
    <n v="12959.48"/>
    <n v="0"/>
    <n v="100"/>
  </r>
  <r>
    <n v="106"/>
    <x v="105"/>
    <s v="20775.00"/>
    <s v="81879.83"/>
    <n v="22893"/>
    <n v="301596.89"/>
    <s v="12"/>
    <s v="27050"/>
    <s v="270770"/>
    <s v="50"/>
    <s v="74464"/>
    <s v="223810"/>
    <s v="13"/>
    <s v="21193"/>
    <s v="53670"/>
    <s v="507"/>
    <s v="27"/>
    <s v="96038"/>
    <s v="471"/>
    <s v="1112150"/>
    <s v="75023"/>
    <n v="-18140"/>
    <n v="0"/>
    <n v="0.21"/>
    <m/>
    <m/>
    <s v="SALES"/>
    <n v="1163920"/>
    <n v="207020.44"/>
    <n v="122030.87310000006"/>
    <n v="84989.566899999947"/>
    <n v="69.645954946461757"/>
    <n v="41.053707981685264"/>
    <n v="0"/>
    <n v="0"/>
    <n v="0"/>
    <n v="0"/>
    <n v="0"/>
    <n v="0"/>
    <n v="6226.34"/>
    <n v="143041.18"/>
    <n v="121055.01"/>
    <n v="21986.17"/>
    <n v="18.162131414470164"/>
    <n v="15.370517776768899"/>
    <n v="5"/>
    <n v="2750"/>
    <n v="0"/>
    <n v="2750"/>
    <n v="0"/>
    <n v="100"/>
  </r>
  <r>
    <n v="107"/>
    <x v="106"/>
    <m/>
    <m/>
    <n v="2834.6"/>
    <n v="196580.4"/>
    <s v="8"/>
    <s v="15700"/>
    <s v="169552"/>
    <s v="82"/>
    <s v="99155"/>
    <s v="279680"/>
    <s v="14"/>
    <s v="20610"/>
    <s v="83953"/>
    <s v="70"/>
    <s v="16"/>
    <s v="53704"/>
    <s v="503"/>
    <s v="1997490"/>
    <s v="95228"/>
    <n v="-1350"/>
    <n v="0"/>
    <n v="0"/>
    <m/>
    <m/>
    <s v="SALES"/>
    <n v="1635830"/>
    <n v="153389.45000000001"/>
    <n v="104761.92316999999"/>
    <n v="48627.526830000017"/>
    <n v="46.417176545232778"/>
    <n v="31.702002210712681"/>
    <n v="0"/>
    <n v="0"/>
    <n v="0"/>
    <n v="0"/>
    <n v="0"/>
    <n v="0"/>
    <n v="34940.560000000041"/>
    <n v="812731.03999999899"/>
    <n v="653183.97700000019"/>
    <n v="159547.0629999988"/>
    <n v="24.426052784206423"/>
    <n v="19.630979395102099"/>
    <n v="470"/>
    <n v="12690"/>
    <n v="0"/>
    <n v="12690"/>
    <n v="0"/>
    <n v="100"/>
  </r>
  <r>
    <n v="108"/>
    <x v="107"/>
    <s v="7227.30"/>
    <s v="1164028.93"/>
    <n v="64726"/>
    <n v="145711.91"/>
    <s v="3"/>
    <s v="2910"/>
    <s v="29129"/>
    <s v="65"/>
    <s v="103226"/>
    <s v="250336"/>
    <s v="6"/>
    <s v="4995"/>
    <s v="16369"/>
    <s v="100"/>
    <s v="22"/>
    <s v="108079"/>
    <s v="936"/>
    <s v="1702845"/>
    <s v="139149"/>
    <n v="6117"/>
    <n v="0.35"/>
    <n v="3.6"/>
    <m/>
    <m/>
    <s v="SALES"/>
    <n v="1378400"/>
    <n v="165970"/>
    <n v="47028.800200000005"/>
    <n v="118941.1998"/>
    <n v="252.91140597713991"/>
    <n v="71.664276556004097"/>
    <n v="0"/>
    <n v="0"/>
    <n v="0"/>
    <n v="0"/>
    <n v="0"/>
    <n v="0"/>
    <n v="19395.330000000002"/>
    <n v="465487.44000000006"/>
    <n v="375483.37499999971"/>
    <n v="90004.06500000041"/>
    <n v="23.970186429692259"/>
    <n v="19.335444367736411"/>
    <n v="15"/>
    <n v="11670"/>
    <n v="0"/>
    <n v="11670"/>
    <n v="0"/>
    <n v="100"/>
  </r>
  <r>
    <n v="109"/>
    <x v="108"/>
    <m/>
    <m/>
    <n v="30434"/>
    <n v="596793.94999999995"/>
    <s v="10"/>
    <s v="40170"/>
    <s v="394955"/>
    <s v="18"/>
    <s v="26800"/>
    <s v="76957"/>
    <s v="6"/>
    <s v="6120"/>
    <s v="13694"/>
    <s v="0"/>
    <s v="17"/>
    <s v="94037"/>
    <s v="301"/>
    <s v="241599"/>
    <s v="59762"/>
    <n v="-1112"/>
    <n v="0"/>
    <n v="2.41"/>
    <m/>
    <m/>
    <s v="SALES"/>
    <n v="132579"/>
    <n v="2452.71"/>
    <n v="5661.6817410000003"/>
    <n v="-3208.9717410000003"/>
    <n v="0"/>
    <n v="0"/>
    <n v="0"/>
    <n v="0"/>
    <n v="0"/>
    <n v="0"/>
    <n v="0"/>
    <n v="0"/>
    <n v="0"/>
    <n v="0"/>
    <n v="0"/>
    <n v="0"/>
    <n v="0"/>
    <n v="0"/>
    <n v="256"/>
    <n v="6912"/>
    <n v="0"/>
    <n v="6912"/>
    <n v="0"/>
    <n v="100"/>
  </r>
  <r>
    <n v="110"/>
    <x v="109"/>
    <s v="22550.00"/>
    <s v="118838.50"/>
    <n v="0"/>
    <n v="0"/>
    <m/>
    <m/>
    <m/>
    <m/>
    <m/>
    <m/>
    <m/>
    <m/>
    <m/>
    <s v="0"/>
    <s v="6"/>
    <s v="12652"/>
    <s v="7"/>
    <s v="2800"/>
    <s v="888"/>
    <n v="-1396"/>
    <n v="0"/>
    <n v="0"/>
    <m/>
    <m/>
    <s v="SALES"/>
    <n v="529375"/>
    <n v="42428.75"/>
    <n v="28722.952375000001"/>
    <n v="13705.797624999999"/>
    <n v="47.717231314038969"/>
    <n v="32.30309076981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1"/>
    <x v="110"/>
    <m/>
    <m/>
    <n v="59566"/>
    <n v="397853.95"/>
    <s v="7"/>
    <s v="24400"/>
    <s v="238270"/>
    <s v="70"/>
    <s v="98380"/>
    <s v="297125"/>
    <s v="9"/>
    <s v="13300"/>
    <s v="27206"/>
    <s v="440"/>
    <s v="7"/>
    <s v="26972"/>
    <s v="628"/>
    <s v="896405"/>
    <s v="95025"/>
    <n v="-2206"/>
    <n v="0"/>
    <n v="9.1"/>
    <m/>
    <m/>
    <s v="SALES"/>
    <n v="2199840"/>
    <n v="287725.74000000005"/>
    <n v="193685.05869500001"/>
    <n v="94040.681305000035"/>
    <n v="48.553400008561269"/>
    <n v="32.68413917538278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2"/>
    <x v="111"/>
    <s v="600.00"/>
    <s v="20215.00"/>
    <n v="6470.2"/>
    <n v="298722.02"/>
    <s v="9"/>
    <s v="26140"/>
    <s v="280495"/>
    <s v="78"/>
    <s v="104165"/>
    <s v="320948"/>
    <s v="7"/>
    <s v="13740"/>
    <s v="33102"/>
    <s v="155"/>
    <s v="21"/>
    <s v="81357"/>
    <s v="495"/>
    <s v="1776504"/>
    <s v="81803"/>
    <n v="-7560"/>
    <n v="0"/>
    <n v="5.27"/>
    <m/>
    <m/>
    <s v="SALES"/>
    <n v="723156"/>
    <n v="114524.4"/>
    <n v="46929.739010000005"/>
    <n v="67594.660989999989"/>
    <n v="144.03374579943139"/>
    <n v="59.022060792285302"/>
    <n v="0"/>
    <n v="0"/>
    <n v="0"/>
    <n v="0"/>
    <n v="0"/>
    <n v="0"/>
    <n v="4038.78"/>
    <n v="96930.72"/>
    <n v="76003.98000000001"/>
    <n v="20926.739999999991"/>
    <n v="27.533742311915756"/>
    <n v="21.589378475678288"/>
    <n v="304.5"/>
    <n v="8221.5"/>
    <n v="0"/>
    <n v="8221.5"/>
    <n v="0"/>
    <n v="100"/>
  </r>
  <r>
    <n v="113"/>
    <x v="112"/>
    <s v="230.00"/>
    <s v="90112.50"/>
    <n v="1585"/>
    <n v="185905.51"/>
    <s v="6"/>
    <s v="19530"/>
    <s v="193542"/>
    <s v="92"/>
    <s v="128725"/>
    <s v="245879"/>
    <s v="12"/>
    <s v="17136"/>
    <s v="40311"/>
    <s v="75"/>
    <s v="26"/>
    <s v="111028"/>
    <s v="392"/>
    <s v="967336"/>
    <s v="60782"/>
    <n v="-22948"/>
    <n v="0"/>
    <n v="3.18"/>
    <m/>
    <m/>
    <s v="SALES"/>
    <n v="871000"/>
    <n v="148304"/>
    <n v="65171.371000000006"/>
    <n v="83132.628999999986"/>
    <n v="127.5600431974954"/>
    <n v="56.055554132053075"/>
    <n v="0"/>
    <n v="0"/>
    <n v="0"/>
    <n v="0"/>
    <n v="0"/>
    <n v="0"/>
    <n v="24030.989999999976"/>
    <n v="575159.97"/>
    <n v="453240.91499999986"/>
    <n v="121919.05500000012"/>
    <n v="26.899393008241574"/>
    <n v="21.197416607417953"/>
    <n v="5"/>
    <n v="3650"/>
    <n v="0"/>
    <n v="3650"/>
    <n v="0"/>
    <n v="100"/>
  </r>
  <r>
    <n v="114"/>
    <x v="113"/>
    <s v="6650.00"/>
    <s v="16093.00"/>
    <n v="9323"/>
    <n v="415244.56"/>
    <s v="7"/>
    <s v="24450"/>
    <s v="238765"/>
    <s v="87"/>
    <s v="125790"/>
    <s v="309895"/>
    <s v="7"/>
    <s v="10006"/>
    <s v="26458"/>
    <s v="300"/>
    <s v="5"/>
    <s v="28136"/>
    <s v="210"/>
    <s v="1141246"/>
    <s v="41657"/>
    <n v="0"/>
    <n v="0"/>
    <n v="16.63"/>
    <m/>
    <m/>
    <s v="SALES"/>
    <n v="2313310"/>
    <n v="83110.240000000005"/>
    <n v="34336.150827999998"/>
    <n v="48774.089172000007"/>
    <n v="142.04879695550017"/>
    <n v="58.686016514932462"/>
    <n v="0"/>
    <n v="0"/>
    <n v="0"/>
    <n v="0"/>
    <n v="0"/>
    <n v="0"/>
    <n v="4403.2400000000007"/>
    <n v="105678.12"/>
    <n v="85317.075000000012"/>
    <n v="20361.044999999998"/>
    <n v="23.865146572359631"/>
    <n v="19.267039383365255"/>
    <n v="7"/>
    <n v="12000"/>
    <n v="0"/>
    <n v="12000"/>
    <n v="0"/>
    <n v="100"/>
  </r>
  <r>
    <n v="115"/>
    <x v="114"/>
    <s v="1311.30"/>
    <s v="446430.69"/>
    <n v="14281"/>
    <n v="326355.09999999998"/>
    <s v="8"/>
    <s v="21330"/>
    <s v="207930"/>
    <s v="38"/>
    <s v="53465"/>
    <s v="159740"/>
    <s v="10"/>
    <s v="13370"/>
    <s v="35526"/>
    <s v="530"/>
    <s v="13"/>
    <s v="52216"/>
    <s v="511"/>
    <s v="784180"/>
    <s v="92318"/>
    <n v="11647"/>
    <n v="1.29"/>
    <n v="0.93"/>
    <m/>
    <m/>
    <s v="SALES"/>
    <n v="772640"/>
    <n v="138486.24"/>
    <n v="68382.920760000008"/>
    <n v="70103.319239999983"/>
    <n v="102.51583065022621"/>
    <n v="50.621144194542353"/>
    <n v="0"/>
    <n v="0"/>
    <n v="0"/>
    <n v="0"/>
    <n v="0"/>
    <n v="0"/>
    <n v="5016.5"/>
    <n v="131751.4"/>
    <n v="111535.89999999998"/>
    <n v="20215.500000000015"/>
    <n v="18.124657621447462"/>
    <n v="15.343669972387405"/>
    <n v="394.24"/>
    <n v="10644.48"/>
    <n v="0"/>
    <n v="10644.48"/>
    <n v="0"/>
    <n v="100"/>
  </r>
  <r>
    <n v="116"/>
    <x v="115"/>
    <m/>
    <m/>
    <n v="0"/>
    <n v="0"/>
    <m/>
    <m/>
    <m/>
    <m/>
    <m/>
    <m/>
    <s v="1"/>
    <s v="1200"/>
    <s v="2761"/>
    <s v="50"/>
    <s v="1"/>
    <s v="3529"/>
    <s v="86"/>
    <s v="163150"/>
    <s v="13037"/>
    <n v="4516"/>
    <n v="2.4300000000000002"/>
    <n v="9.9499999999999993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7"/>
    <x v="116"/>
    <s v="1200.00"/>
    <s v="128725.00"/>
    <n v="476.04"/>
    <n v="106072.4"/>
    <s v="4"/>
    <s v="11150"/>
    <s v="133816"/>
    <s v="60"/>
    <s v="62345"/>
    <s v="161967"/>
    <s v="7"/>
    <s v="8530"/>
    <s v="27985"/>
    <s v="75"/>
    <s v="14"/>
    <s v="45329"/>
    <s v="391"/>
    <s v="858357"/>
    <s v="69199"/>
    <n v="-11929"/>
    <n v="0"/>
    <n v="0"/>
    <m/>
    <m/>
    <s v="SALES"/>
    <n v="211304"/>
    <n v="25219.71"/>
    <n v="20710.142152000004"/>
    <n v="4509.5678479999951"/>
    <n v="21.774683219953179"/>
    <n v="17.881124913807476"/>
    <n v="0"/>
    <n v="0"/>
    <n v="0"/>
    <n v="0"/>
    <n v="0"/>
    <n v="0"/>
    <n v="0"/>
    <n v="0"/>
    <n v="0"/>
    <n v="0"/>
    <n v="0"/>
    <n v="0"/>
    <n v="383.24"/>
    <n v="10177.9"/>
    <n v="0"/>
    <n v="10177.9"/>
    <n v="0"/>
    <n v="100"/>
  </r>
  <r>
    <n v="118"/>
    <x v="117"/>
    <s v="26202.00"/>
    <s v="57046.74"/>
    <n v="27875.26"/>
    <n v="292483.14"/>
    <s v="7"/>
    <s v="22425"/>
    <s v="281658"/>
    <s v="89"/>
    <s v="128707"/>
    <s v="272796"/>
    <s v="6"/>
    <s v="11810"/>
    <s v="50539"/>
    <s v="0"/>
    <s v="10"/>
    <s v="39881"/>
    <s v="582"/>
    <s v="1455790"/>
    <s v="78391"/>
    <n v="2152"/>
    <n v="0.14000000000000001"/>
    <n v="0.2"/>
    <m/>
    <m/>
    <s v="SALES"/>
    <n v="1662373"/>
    <n v="325082.36"/>
    <n v="226717.89052700001"/>
    <n v="98364.469473000005"/>
    <n v="43.386284710198339"/>
    <n v="30.2583226825965"/>
    <n v="0"/>
    <n v="0"/>
    <n v="0"/>
    <n v="0"/>
    <n v="0"/>
    <n v="0"/>
    <n v="0"/>
    <n v="0"/>
    <n v="0"/>
    <n v="0"/>
    <n v="0"/>
    <n v="0"/>
    <n v="466.5"/>
    <n v="13406.24"/>
    <n v="0"/>
    <n v="13406.24"/>
    <n v="0"/>
    <n v="100"/>
  </r>
  <r>
    <n v="119"/>
    <x v="118"/>
    <s v="12270.00"/>
    <s v="19551.71"/>
    <n v="13939.92"/>
    <n v="330347.64999999997"/>
    <s v="6"/>
    <s v="18860"/>
    <s v="231403"/>
    <s v="76"/>
    <s v="106435"/>
    <s v="314152"/>
    <s v="14"/>
    <s v="22556"/>
    <s v="66502"/>
    <s v="40"/>
    <s v="9"/>
    <s v="31262"/>
    <s v="549"/>
    <s v="1473716"/>
    <s v="92683"/>
    <n v="4046"/>
    <n v="0.27"/>
    <n v="2.06"/>
    <m/>
    <m/>
    <s v="SALES"/>
    <n v="1365916"/>
    <n v="153679.79999999999"/>
    <n v="77790.468251999991"/>
    <n v="75889.331747999997"/>
    <n v="97.556080395555256"/>
    <n v="49.381461810856081"/>
    <n v="0"/>
    <n v="0"/>
    <n v="0"/>
    <n v="0"/>
    <n v="0"/>
    <n v="0"/>
    <n v="30139.33000000002"/>
    <n v="712817.55999999982"/>
    <n v="575001.25499999989"/>
    <n v="137816.30499999991"/>
    <n v="23.968000730711442"/>
    <n v="19.33402215848891"/>
    <n v="689.86"/>
    <n v="20795.22"/>
    <n v="0"/>
    <n v="20795.22"/>
    <n v="0"/>
    <n v="100"/>
  </r>
  <r>
    <n v="120"/>
    <x v="119"/>
    <s v="15.00"/>
    <s v="8505.00"/>
    <n v="7777"/>
    <n v="496420.8"/>
    <s v="5"/>
    <s v="21320"/>
    <s v="223434"/>
    <s v="73"/>
    <s v="111265"/>
    <s v="397982"/>
    <s v="10"/>
    <s v="15505"/>
    <s v="31819"/>
    <s v="0"/>
    <s v="22"/>
    <s v="35301"/>
    <s v="384"/>
    <s v="1062600"/>
    <s v="58820"/>
    <n v="-52050"/>
    <n v="0"/>
    <n v="0.18"/>
    <m/>
    <m/>
    <s v="SALES"/>
    <n v="1241250"/>
    <n v="95802.74"/>
    <n v="50674.951140000012"/>
    <n v="45127.788859999979"/>
    <n v="89.053443259027816"/>
    <n v="47.104904160361158"/>
    <n v="0"/>
    <n v="0"/>
    <n v="0"/>
    <n v="0"/>
    <n v="0"/>
    <n v="0"/>
    <n v="613.79999999999995"/>
    <n v="23324.400000000001"/>
    <n v="17911.8"/>
    <n v="5412.5999999999985"/>
    <n v="30.218068535825537"/>
    <n v="23.205741626794257"/>
    <n v="0"/>
    <n v="0"/>
    <n v="0"/>
    <n v="0"/>
    <n v="0"/>
    <n v="0"/>
  </r>
  <r>
    <n v="121"/>
    <x v="120"/>
    <s v="45180.00"/>
    <s v="182135.64"/>
    <n v="46259"/>
    <n v="317729.6999999999"/>
    <s v="7"/>
    <s v="23470"/>
    <s v="245966"/>
    <s v="54"/>
    <s v="88375"/>
    <s v="334910"/>
    <s v="5"/>
    <s v="10120"/>
    <s v="29791"/>
    <s v="0"/>
    <s v="38"/>
    <s v="135926"/>
    <s v="596"/>
    <s v="1625550"/>
    <s v="81120"/>
    <n v="29073"/>
    <n v="1.67"/>
    <n v="5.42"/>
    <m/>
    <m/>
    <s v="SALES"/>
    <n v="1479200"/>
    <n v="220426"/>
    <n v="130729.36190000005"/>
    <n v="89696.638099999967"/>
    <n v="68.612465322528237"/>
    <n v="40.692403845281397"/>
    <n v="0"/>
    <n v="0"/>
    <n v="0"/>
    <n v="0"/>
    <n v="0"/>
    <n v="0"/>
    <n v="12366.84"/>
    <n v="349061.70000000007"/>
    <n v="261198.86000000007"/>
    <n v="87862.84"/>
    <n v="33.63829382716294"/>
    <n v="25.171148825551462"/>
    <n v="20"/>
    <n v="15195"/>
    <n v="0"/>
    <n v="15195"/>
    <n v="0"/>
    <n v="100"/>
  </r>
  <r>
    <n v="122"/>
    <x v="121"/>
    <s v="68037.00"/>
    <s v="1377963.37"/>
    <n v="60570"/>
    <n v="388407.3"/>
    <s v="5"/>
    <s v="23800"/>
    <s v="240304"/>
    <s v="35"/>
    <s v="58950"/>
    <s v="170676"/>
    <s v="11"/>
    <s v="22760"/>
    <s v="92270"/>
    <s v="70"/>
    <s v="33"/>
    <s v="167773"/>
    <s v="702"/>
    <s v="2230800"/>
    <s v="182944"/>
    <n v="0"/>
    <n v="0"/>
    <n v="6.81"/>
    <m/>
    <m/>
    <s v="SALES"/>
    <n v="861500"/>
    <n v="72707.25"/>
    <n v="46915.358999999997"/>
    <n v="25791.890999999996"/>
    <n v="54.975367448429822"/>
    <n v="35.473616455030275"/>
    <n v="0"/>
    <n v="0"/>
    <n v="0"/>
    <n v="0"/>
    <n v="0"/>
    <n v="0"/>
    <n v="4520.28"/>
    <n v="108486.72"/>
    <n v="89727.56"/>
    <n v="18759.160000000003"/>
    <n v="20.906798312580889"/>
    <n v="17.291664823123053"/>
    <n v="352"/>
    <n v="7920"/>
    <n v="0"/>
    <n v="7920"/>
    <n v="0"/>
    <n v="100"/>
  </r>
  <r>
    <n v="123"/>
    <x v="122"/>
    <s v="3000.00"/>
    <s v="9688.50"/>
    <n v="5100"/>
    <n v="244589.51"/>
    <s v="7"/>
    <s v="25480"/>
    <s v="258227"/>
    <s v="100"/>
    <s v="143015"/>
    <s v="399016"/>
    <s v="13"/>
    <s v="22288"/>
    <s v="50999"/>
    <s v="0"/>
    <s v="11"/>
    <s v="34633"/>
    <s v="944"/>
    <s v="2093825"/>
    <s v="180966"/>
    <n v="0"/>
    <n v="0"/>
    <n v="1.65"/>
    <m/>
    <m/>
    <s v="SALES"/>
    <n v="0"/>
    <n v="0"/>
    <n v="0"/>
    <n v="0"/>
    <n v="0"/>
    <n v="0"/>
    <n v="0"/>
    <n v="0"/>
    <n v="0"/>
    <n v="0"/>
    <n v="0"/>
    <n v="0"/>
    <n v="7552.6"/>
    <n v="181423.58"/>
    <n v="146559.63"/>
    <n v="34863.950000000012"/>
    <n v="23.788235546173262"/>
    <n v="19.216879084846639"/>
    <n v="0"/>
    <n v="0"/>
    <n v="0"/>
    <n v="0"/>
    <n v="0"/>
    <n v="0"/>
  </r>
  <r>
    <n v="124"/>
    <x v="123"/>
    <m/>
    <m/>
    <n v="0"/>
    <n v="0"/>
    <m/>
    <m/>
    <m/>
    <m/>
    <m/>
    <m/>
    <m/>
    <m/>
    <m/>
    <m/>
    <m/>
    <m/>
    <s v="99"/>
    <s v="1978450"/>
    <s v="18295"/>
    <n v="0"/>
    <n v="0"/>
    <n v="24.03"/>
    <m/>
    <m/>
    <s v="SALES"/>
    <n v="288000"/>
    <n v="46080"/>
    <n v="34097.645999999993"/>
    <n v="11982.354000000008"/>
    <n v="35.141293918061116"/>
    <n v="26.00337239583334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5"/>
    <x v="124"/>
    <s v="11407.10"/>
    <s v="1872840.67"/>
    <n v="5420"/>
    <n v="156530.32999999999"/>
    <s v="5"/>
    <s v="15410"/>
    <s v="152929"/>
    <s v="72"/>
    <s v="106155"/>
    <s v="228120"/>
    <s v="20"/>
    <s v="32302"/>
    <s v="90388"/>
    <s v="180"/>
    <s v="6"/>
    <s v="18465"/>
    <s v="290"/>
    <s v="861040"/>
    <s v="59459"/>
    <n v="0"/>
    <n v="0"/>
    <n v="6.08"/>
    <m/>
    <m/>
    <s v="SALES"/>
    <n v="2175215"/>
    <n v="339186.66"/>
    <n v="176138.76485999997"/>
    <n v="163047.89514000001"/>
    <n v="92.567865608456515"/>
    <n v="48.070255811357683"/>
    <n v="0"/>
    <n v="0"/>
    <n v="0"/>
    <n v="0"/>
    <n v="0"/>
    <n v="0"/>
    <n v="16540.04"/>
    <n v="390757.17"/>
    <n v="326060.76500000007"/>
    <n v="64696.404999999912"/>
    <n v="19.841824575244399"/>
    <n v="16.556677642025075"/>
    <n v="0"/>
    <n v="0"/>
    <n v="0"/>
    <n v="0"/>
    <n v="0"/>
    <n v="0"/>
  </r>
  <r>
    <n v="126"/>
    <x v="125"/>
    <s v="9700.00"/>
    <s v="88533.80"/>
    <n v="12879.6"/>
    <n v="534450.36"/>
    <s v="11"/>
    <s v="34100"/>
    <s v="378400"/>
    <s v="44"/>
    <s v="67525"/>
    <s v="201575"/>
    <s v="17"/>
    <s v="22935"/>
    <s v="57945"/>
    <s v="165"/>
    <s v="7"/>
    <s v="21368"/>
    <s v="587"/>
    <s v="1447400"/>
    <s v="119736"/>
    <n v="0"/>
    <n v="0"/>
    <n v="1.25"/>
    <m/>
    <m/>
    <s v="SALES"/>
    <n v="796420"/>
    <n v="126218.75"/>
    <n v="49869.970529999999"/>
    <n v="76348.779470000009"/>
    <n v="153.09569798937679"/>
    <n v="60.489253355781138"/>
    <n v="0"/>
    <n v="0"/>
    <n v="0"/>
    <n v="0"/>
    <n v="0"/>
    <n v="0"/>
    <n v="3935.8"/>
    <n v="93159.56"/>
    <n v="76907.859999999957"/>
    <n v="16251.700000000041"/>
    <n v="21.131390211611727"/>
    <n v="17.445015841637769"/>
    <n v="0"/>
    <n v="0"/>
    <n v="0"/>
    <n v="0"/>
    <n v="0"/>
    <n v="0"/>
  </r>
  <r>
    <n v="127"/>
    <x v="126"/>
    <s v="37709.99"/>
    <s v="1073981.02"/>
    <n v="28512.400000000001"/>
    <n v="329266.33399999997"/>
    <s v="8"/>
    <s v="22440"/>
    <s v="240779"/>
    <s v="125"/>
    <s v="167005"/>
    <s v="500700"/>
    <s v="13"/>
    <s v="19910"/>
    <s v="56779"/>
    <s v="450"/>
    <s v="16"/>
    <s v="59699"/>
    <s v="623"/>
    <s v="1702059"/>
    <s v="114176"/>
    <n v="-8200"/>
    <n v="0"/>
    <n v="6.64"/>
    <m/>
    <m/>
    <s v="SALES"/>
    <n v="2564964"/>
    <n v="92703.82"/>
    <n v="57871.501592000001"/>
    <n v="34832.318408000006"/>
    <n v="60.18906966259734"/>
    <n v="37.573768166187762"/>
    <n v="0"/>
    <n v="0"/>
    <n v="0"/>
    <n v="0"/>
    <n v="0"/>
    <n v="0"/>
    <n v="11649.390000000009"/>
    <n v="281147.95"/>
    <n v="239872.23000000007"/>
    <n v="41275.719999999943"/>
    <n v="17.207377444233511"/>
    <n v="14.681138525107491"/>
    <n v="624"/>
    <n v="16848"/>
    <n v="0"/>
    <n v="16848"/>
    <n v="0"/>
    <n v="100"/>
  </r>
  <r>
    <n v="128"/>
    <x v="127"/>
    <m/>
    <m/>
    <n v="1525.1999999999998"/>
    <n v="229585.70199999999"/>
    <s v="8"/>
    <s v="22550"/>
    <s v="254758"/>
    <s v="81"/>
    <s v="98690"/>
    <s v="321509"/>
    <s v="8"/>
    <s v="12800"/>
    <s v="30414"/>
    <s v="0"/>
    <s v="8"/>
    <s v="37161"/>
    <s v="528"/>
    <s v="2844164"/>
    <s v="121115"/>
    <n v="82666"/>
    <n v="2.71"/>
    <n v="1.98"/>
    <m/>
    <m/>
    <s v="SALES"/>
    <n v="5697500"/>
    <n v="807138"/>
    <n v="378332.81465000007"/>
    <n v="428805.18534999993"/>
    <n v="113.34073301220047"/>
    <n v="53.126625849606882"/>
    <n v="0"/>
    <n v="0"/>
    <n v="0"/>
    <n v="0"/>
    <n v="0"/>
    <n v="0"/>
    <n v="11472.39"/>
    <n v="273669.94000000006"/>
    <n v="237472.67499999996"/>
    <n v="36197.265000000101"/>
    <n v="15.242707397809076"/>
    <n v="13.226613416146508"/>
    <n v="487.56"/>
    <n v="13164.12"/>
    <n v="0"/>
    <n v="13164.12"/>
    <n v="0"/>
    <n v="100"/>
  </r>
  <r>
    <n v="129"/>
    <x v="128"/>
    <s v="34470.00"/>
    <s v="60357.76"/>
    <n v="36291.56"/>
    <n v="268481.38"/>
    <s v="6"/>
    <s v="24570"/>
    <s v="247419"/>
    <s v="128"/>
    <s v="86680"/>
    <s v="141736"/>
    <s v="11"/>
    <s v="18100"/>
    <s v="40172"/>
    <s v="580"/>
    <s v="12"/>
    <s v="48944"/>
    <s v="384"/>
    <s v="1692006"/>
    <s v="111761"/>
    <n v="-3798"/>
    <n v="0"/>
    <n v="3.98"/>
    <m/>
    <m/>
    <s v="SALES"/>
    <n v="2118700"/>
    <n v="279934.49"/>
    <n v="198059.05761799999"/>
    <n v="81875.432381999999"/>
    <n v="41.338898289577145"/>
    <n v="29.248068854252296"/>
    <n v="0"/>
    <n v="0"/>
    <n v="0"/>
    <n v="0"/>
    <n v="0"/>
    <n v="0"/>
    <n v="10030.219999999999"/>
    <n v="235709.94000000003"/>
    <n v="198672.05"/>
    <n v="37037.890000000014"/>
    <n v="18.642728053593853"/>
    <n v="15.713333939162688"/>
    <n v="307"/>
    <n v="19373"/>
    <n v="0"/>
    <n v="19373"/>
    <n v="0"/>
    <n v="100"/>
  </r>
  <r>
    <n v="130"/>
    <x v="129"/>
    <m/>
    <m/>
    <n v="0"/>
    <n v="0"/>
    <m/>
    <m/>
    <m/>
    <s v="53"/>
    <s v="56820"/>
    <s v="138674"/>
    <s v="5"/>
    <s v="8710"/>
    <s v="30696"/>
    <s v="0"/>
    <s v="12"/>
    <s v="43945"/>
    <s v="181"/>
    <s v="290000"/>
    <s v="36022"/>
    <n v="0"/>
    <n v="0"/>
    <n v="0"/>
    <m/>
    <m/>
    <s v="SALES"/>
    <n v="194400"/>
    <n v="4242.59"/>
    <n v="9102.7890000000007"/>
    <n v="-4860.1990000000005"/>
    <n v="0"/>
    <n v="0"/>
    <n v="0"/>
    <n v="0"/>
    <n v="0"/>
    <n v="0"/>
    <n v="0"/>
    <n v="0"/>
    <n v="0"/>
    <n v="0"/>
    <n v="0"/>
    <n v="0"/>
    <n v="0"/>
    <n v="0"/>
    <n v="441.1"/>
    <n v="12791.9"/>
    <n v="0"/>
    <n v="12791.9"/>
    <n v="0"/>
    <n v="100"/>
  </r>
  <r>
    <n v="131"/>
    <x v="130"/>
    <m/>
    <m/>
    <n v="0"/>
    <n v="0"/>
    <m/>
    <m/>
    <m/>
    <m/>
    <m/>
    <m/>
    <m/>
    <m/>
    <m/>
    <m/>
    <m/>
    <m/>
    <m/>
    <m/>
    <m/>
    <n v="0"/>
    <n v="0"/>
    <n v="0"/>
    <m/>
    <m/>
    <s v="SALES"/>
    <n v="54000"/>
    <n v="21708"/>
    <n v="17266.5144"/>
    <n v="4441.4856"/>
    <n v="25.723116415435879"/>
    <n v="20.46013266998341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2"/>
    <x v="131"/>
    <m/>
    <m/>
    <n v="1777.56"/>
    <n v="194411.28"/>
    <s v="7"/>
    <s v="24450"/>
    <s v="246210"/>
    <s v="127"/>
    <s v="71830"/>
    <s v="137094"/>
    <s v="10"/>
    <s v="15970"/>
    <s v="45001"/>
    <s v="220"/>
    <s v="15"/>
    <s v="47244"/>
    <s v="691"/>
    <s v="1584290"/>
    <s v="90230"/>
    <n v="0"/>
    <n v="0"/>
    <n v="3.27"/>
    <m/>
    <m/>
    <s v="SALES"/>
    <n v="2946950"/>
    <n v="218429.00000000009"/>
    <n v="109227.49818"/>
    <n v="109201.50182000003"/>
    <n v="99.976199802766601"/>
    <n v="49.994049242545643"/>
    <n v="0"/>
    <n v="0"/>
    <n v="0"/>
    <n v="0"/>
    <n v="0"/>
    <n v="0"/>
    <n v="7338.95"/>
    <n v="159496.60999999999"/>
    <n v="142838.74000000002"/>
    <n v="16657.869999999966"/>
    <n v="11.662011300295678"/>
    <n v="10.444027619144988"/>
    <n v="0"/>
    <n v="0"/>
    <n v="0"/>
    <n v="0"/>
    <n v="0"/>
    <n v="0"/>
  </r>
  <r>
    <n v="133"/>
    <x v="132"/>
    <s v="1338.70"/>
    <s v="129004.50"/>
    <n v="2262.3000000000002"/>
    <n v="326276.8"/>
    <s v="8"/>
    <s v="24580"/>
    <s v="252656"/>
    <s v="178"/>
    <s v="118545"/>
    <s v="225115"/>
    <s v="14"/>
    <s v="22155"/>
    <s v="31799"/>
    <s v="405"/>
    <s v="14"/>
    <s v="64208"/>
    <s v="473"/>
    <s v="694695"/>
    <s v="78673"/>
    <n v="28173"/>
    <n v="3.58"/>
    <n v="2.08"/>
    <m/>
    <m/>
    <s v="SALES"/>
    <n v="1525510"/>
    <n v="236727.73"/>
    <n v="92137.846449999983"/>
    <n v="144589.88355000003"/>
    <n v="156.92778713735612"/>
    <n v="61.078557864767269"/>
    <n v="0"/>
    <n v="0"/>
    <n v="0"/>
    <n v="0"/>
    <n v="0"/>
    <n v="0"/>
    <n v="1567.86"/>
    <n v="50171.519999999997"/>
    <n v="46517.354999999989"/>
    <n v="3654.1650000000081"/>
    <n v="7.855487484187373"/>
    <n v="7.2833452125827733"/>
    <n v="0"/>
    <n v="0"/>
    <n v="0"/>
    <n v="0"/>
    <n v="0"/>
    <n v="0"/>
  </r>
  <r>
    <n v="134"/>
    <x v="133"/>
    <m/>
    <m/>
    <n v="1181.79"/>
    <n v="223516.38"/>
    <s v="5"/>
    <s v="16825"/>
    <s v="195841"/>
    <s v="115"/>
    <s v="156325"/>
    <s v="385760"/>
    <s v="9"/>
    <s v="13985"/>
    <s v="21599"/>
    <s v="270"/>
    <s v="8"/>
    <s v="28723"/>
    <s v="617"/>
    <s v="795870"/>
    <s v="78215"/>
    <n v="-6040"/>
    <n v="0"/>
    <n v="11.05"/>
    <m/>
    <m/>
    <s v="SALES"/>
    <n v="453590"/>
    <n v="89026.22"/>
    <n v="58042.999400000008"/>
    <n v="30983.220599999993"/>
    <n v="53.37977175590273"/>
    <n v="34.802354407499266"/>
    <n v="0"/>
    <n v="0"/>
    <n v="0"/>
    <n v="0"/>
    <n v="0"/>
    <n v="0"/>
    <n v="20695.429999999997"/>
    <n v="546788.22999999847"/>
    <n v="429167.78499999997"/>
    <n v="117620.44499999849"/>
    <n v="27.406634214168356"/>
    <n v="21.511151584224631"/>
    <n v="1"/>
    <n v="750"/>
    <n v="0"/>
    <n v="750"/>
    <n v="0"/>
    <n v="100"/>
  </r>
  <r>
    <n v="135"/>
    <x v="134"/>
    <s v="100.00"/>
    <s v="8525.00"/>
    <n v="830.44"/>
    <n v="170087.432"/>
    <s v="7"/>
    <s v="12690"/>
    <s v="151048"/>
    <s v="55"/>
    <s v="63970"/>
    <s v="146920"/>
    <s v="5"/>
    <s v="8380"/>
    <s v="17409"/>
    <s v="80"/>
    <s v="18"/>
    <s v="60165"/>
    <s v="151"/>
    <s v="454330"/>
    <s v="37840"/>
    <n v="-6040"/>
    <n v="0"/>
    <n v="0"/>
    <m/>
    <m/>
    <s v="SALES"/>
    <n v="1362120"/>
    <n v="190217.56000000003"/>
    <n v="112610.25670000004"/>
    <n v="77607.3033"/>
    <n v="68.916727103065014"/>
    <n v="40.799231837481251"/>
    <n v="0"/>
    <n v="0"/>
    <n v="0"/>
    <n v="0"/>
    <n v="0"/>
    <n v="0"/>
    <n v="16285.049999999992"/>
    <n v="394404.26999999973"/>
    <n v="324929.39500000008"/>
    <n v="69474.874999999651"/>
    <n v="21.381529670468758"/>
    <n v="17.615142706238878"/>
    <n v="0"/>
    <n v="0"/>
    <n v="0"/>
    <n v="0"/>
    <n v="0"/>
    <n v="0"/>
  </r>
  <r>
    <n v="136"/>
    <x v="135"/>
    <s v="70560.00"/>
    <s v="1284.19"/>
    <n v="47468"/>
    <n v="58743.11"/>
    <s v="1"/>
    <s v="1720"/>
    <s v="19040"/>
    <s v="58"/>
    <s v="73495"/>
    <s v="172119"/>
    <s v="7"/>
    <s v="8210"/>
    <s v="25181"/>
    <s v="185"/>
    <s v="22"/>
    <s v="44416"/>
    <s v="636"/>
    <s v="561770"/>
    <s v="86260"/>
    <n v="0"/>
    <n v="0"/>
    <n v="9.89"/>
    <m/>
    <m/>
    <s v="SALES"/>
    <n v="718995"/>
    <n v="145114.1"/>
    <n v="89081.563699999984"/>
    <n v="56032.536300000022"/>
    <n v="62.900261257986912"/>
    <n v="38.612744247457705"/>
    <n v="0"/>
    <n v="0"/>
    <n v="0"/>
    <n v="0"/>
    <n v="0"/>
    <n v="0"/>
    <n v="11201.28"/>
    <n v="268830.71999999991"/>
    <n v="222077.98500000007"/>
    <n v="46752.734999999841"/>
    <n v="21.052395175505499"/>
    <n v="17.391143021154669"/>
    <n v="47442.86"/>
    <n v="12377.6"/>
    <n v="940.8"/>
    <n v="11436.8"/>
    <n v="1215.6462585034012"/>
    <n v="92.399172699069283"/>
  </r>
  <r>
    <n v="137"/>
    <x v="136"/>
    <s v="34830.00"/>
    <s v="47960.67"/>
    <n v="36282.300000000003"/>
    <n v="243322.66800000003"/>
    <s v="10"/>
    <s v="21600"/>
    <s v="239111"/>
    <s v="45"/>
    <s v="80930"/>
    <s v="202476"/>
    <s v="8"/>
    <s v="10860"/>
    <s v="41182"/>
    <s v="155"/>
    <s v="13"/>
    <s v="38387"/>
    <s v="671"/>
    <s v="639370"/>
    <s v="42715"/>
    <n v="1321"/>
    <n v="0.19"/>
    <n v="0"/>
    <m/>
    <m/>
    <s v="SALES"/>
    <n v="385600"/>
    <n v="39957.599999999999"/>
    <n v="14558.058000000001"/>
    <n v="25399.542000000001"/>
    <n v="174.47067459134999"/>
    <n v="63.56623520932187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8"/>
    <x v="137"/>
    <s v="240.00"/>
    <s v="30870.00"/>
    <n v="2024.6"/>
    <n v="215149.8"/>
    <s v="6"/>
    <s v="24970"/>
    <s v="241460"/>
    <m/>
    <m/>
    <m/>
    <m/>
    <m/>
    <m/>
    <m/>
    <s v="2"/>
    <s v="5763"/>
    <m/>
    <m/>
    <m/>
    <n v="0"/>
    <n v="0"/>
    <n v="0"/>
    <m/>
    <m/>
    <s v="SALES"/>
    <n v="211130"/>
    <n v="106274.7"/>
    <n v="39642.258979999999"/>
    <n v="66632.441019999998"/>
    <n v="168.08436939382509"/>
    <n v="62.6983101528397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9"/>
    <x v="138"/>
    <m/>
    <m/>
    <n v="2076.7799999999997"/>
    <n v="215266.16000000003"/>
    <s v="6"/>
    <s v="21530"/>
    <s v="208195"/>
    <s v="73"/>
    <s v="106725"/>
    <s v="391549"/>
    <s v="16"/>
    <s v="24900"/>
    <s v="38991"/>
    <s v="350"/>
    <s v="17"/>
    <s v="69328"/>
    <s v="517"/>
    <s v="1169830"/>
    <s v="116067"/>
    <n v="0"/>
    <n v="0"/>
    <n v="5.75"/>
    <m/>
    <m/>
    <s v="SALES"/>
    <n v="1260500"/>
    <n v="159780.34000000003"/>
    <n v="103637.96834000002"/>
    <n v="56142.371659999997"/>
    <n v="54.171625089963612"/>
    <n v="35.1372213001925"/>
    <n v="0"/>
    <n v="0"/>
    <n v="0"/>
    <n v="0"/>
    <n v="0"/>
    <n v="0"/>
    <n v="660"/>
    <n v="15840"/>
    <n v="12275.999999999998"/>
    <n v="3564.0000000000018"/>
    <n v="29.032258064516149"/>
    <n v="22.500000000000011"/>
    <n v="1150.7399999999998"/>
    <n v="29253.619999999995"/>
    <n v="0"/>
    <n v="29253.619999999995"/>
    <n v="0"/>
    <n v="100"/>
  </r>
  <r>
    <n v="140"/>
    <x v="139"/>
    <s v="6215.50"/>
    <s v="585478.00"/>
    <n v="1220"/>
    <n v="125141"/>
    <s v="5"/>
    <s v="19830"/>
    <s v="191756"/>
    <s v="83"/>
    <s v="127190"/>
    <s v="329641"/>
    <s v="16"/>
    <s v="27120"/>
    <s v="93966"/>
    <s v="350"/>
    <s v="10"/>
    <s v="24092"/>
    <s v="184"/>
    <s v="1016550"/>
    <s v="51195"/>
    <n v="0"/>
    <n v="0"/>
    <n v="10.55"/>
    <m/>
    <m/>
    <s v="SALES"/>
    <n v="1342600"/>
    <n v="228092.68"/>
    <n v="106669.09699999998"/>
    <n v="121423.583"/>
    <n v="113.83201547117254"/>
    <n v="53.234318172770834"/>
    <n v="0"/>
    <n v="0"/>
    <n v="0"/>
    <n v="0"/>
    <n v="0"/>
    <n v="0"/>
    <n v="20780.379999999994"/>
    <n v="598283.79999999993"/>
    <n v="456095.7650000006"/>
    <n v="142188.03499999933"/>
    <n v="31.175039522675497"/>
    <n v="23.765984470914866"/>
    <n v="29"/>
    <n v="41050"/>
    <n v="0"/>
    <n v="41050"/>
    <n v="0"/>
    <n v="100"/>
  </r>
  <r>
    <n v="141"/>
    <x v="140"/>
    <s v="14330.00"/>
    <s v="19045.62"/>
    <n v="15634"/>
    <n v="160686.70000000001"/>
    <s v="4"/>
    <s v="17490"/>
    <s v="171548"/>
    <s v="66"/>
    <s v="93075"/>
    <s v="231840"/>
    <s v="11"/>
    <s v="15445"/>
    <s v="62256"/>
    <s v="220"/>
    <s v="4"/>
    <s v="15195"/>
    <s v="256"/>
    <s v="915300"/>
    <s v="96465"/>
    <n v="0"/>
    <n v="0"/>
    <n v="3.46"/>
    <m/>
    <m/>
    <s v="SALES"/>
    <n v="805350"/>
    <n v="59223.77"/>
    <n v="38219.740749999997"/>
    <n v="21004.029250000007"/>
    <n v="54.955969972140664"/>
    <n v="35.465539005706667"/>
    <n v="0"/>
    <n v="0"/>
    <n v="0"/>
    <n v="0"/>
    <n v="0"/>
    <n v="0"/>
    <n v="10672.499999999998"/>
    <n v="250803.74999999997"/>
    <n v="199910.83499999999"/>
    <n v="50892.914999999979"/>
    <n v="25.45780722690693"/>
    <n v="20.291927453237836"/>
    <n v="2"/>
    <n v="1600"/>
    <n v="0"/>
    <n v="1600"/>
    <n v="0"/>
    <n v="100"/>
  </r>
  <r>
    <n v="142"/>
    <x v="141"/>
    <s v="8287.00"/>
    <s v="1092554.00"/>
    <n v="1290"/>
    <n v="179181.93"/>
    <s v="7"/>
    <s v="23520"/>
    <s v="236846"/>
    <s v="74"/>
    <s v="91842"/>
    <s v="305748"/>
    <s v="13"/>
    <s v="19700"/>
    <s v="48801"/>
    <s v="401"/>
    <s v="19"/>
    <s v="89301"/>
    <s v="385"/>
    <s v="532370"/>
    <s v="100907"/>
    <n v="0"/>
    <n v="0"/>
    <n v="11.72"/>
    <m/>
    <m/>
    <s v="SALES"/>
    <n v="422310"/>
    <n v="127684.9"/>
    <n v="108443.44565999995"/>
    <n v="19241.454340000026"/>
    <n v="17.743307788584364"/>
    <n v="15.069483032057846"/>
    <n v="0"/>
    <n v="0"/>
    <n v="0"/>
    <n v="0"/>
    <n v="0"/>
    <n v="0"/>
    <n v="5999.6900000000005"/>
    <n v="144260.51"/>
    <n v="113338.83199999997"/>
    <n v="30921.678000000044"/>
    <n v="27.282509846228216"/>
    <n v="21.434610206216547"/>
    <n v="4070.44"/>
    <n v="102177.08"/>
    <n v="0"/>
    <n v="102177.08"/>
    <n v="0"/>
    <n v="100"/>
  </r>
  <r>
    <n v="143"/>
    <x v="142"/>
    <m/>
    <m/>
    <n v="1377"/>
    <n v="148321.5"/>
    <s v="7"/>
    <s v="18400"/>
    <s v="189887"/>
    <s v="77"/>
    <s v="118885"/>
    <s v="256130"/>
    <s v="14"/>
    <s v="20875"/>
    <s v="43898"/>
    <s v="260"/>
    <s v="9"/>
    <s v="28918"/>
    <s v="620"/>
    <s v="668062"/>
    <s v="90418"/>
    <n v="0"/>
    <n v="0"/>
    <n v="0"/>
    <m/>
    <m/>
    <s v="SALES"/>
    <n v="960310"/>
    <n v="130151.67999999999"/>
    <n v="105169.23158000001"/>
    <n v="24982.448420000015"/>
    <n v="23.754522158884843"/>
    <n v="19.194872029312272"/>
    <n v="0"/>
    <n v="0"/>
    <n v="0"/>
    <n v="0"/>
    <n v="0"/>
    <n v="0"/>
    <n v="8190.73"/>
    <n v="207520.65999999997"/>
    <n v="165280.25399999999"/>
    <n v="42240.405999999988"/>
    <n v="25.556837539709971"/>
    <n v="20.354795517708933"/>
    <n v="598.94000000000005"/>
    <n v="17139.379999999997"/>
    <n v="0"/>
    <n v="17139.379999999997"/>
    <n v="0"/>
    <n v="100"/>
  </r>
  <r>
    <n v="144"/>
    <x v="143"/>
    <s v="6000.00"/>
    <s v="29602.20"/>
    <n v="7629"/>
    <n v="262689.45"/>
    <s v="7"/>
    <s v="18570"/>
    <s v="191642"/>
    <s v="6"/>
    <s v="6000"/>
    <s v="29604"/>
    <s v="6"/>
    <s v="9458"/>
    <s v="22663"/>
    <s v="165"/>
    <s v="23"/>
    <s v="79717"/>
    <s v="298"/>
    <s v="1502780"/>
    <s v="81188"/>
    <n v="7304"/>
    <n v="0.47"/>
    <n v="2.95"/>
    <m/>
    <m/>
    <s v="SALES"/>
    <n v="839572"/>
    <n v="94742.65"/>
    <n v="77936.859402000002"/>
    <n v="16805.790597999992"/>
    <n v="21.56334079529092"/>
    <n v="17.738358171319881"/>
    <n v="0"/>
    <n v="0"/>
    <n v="0"/>
    <n v="0"/>
    <n v="0"/>
    <n v="0"/>
    <n v="0"/>
    <n v="0"/>
    <n v="0"/>
    <n v="0"/>
    <n v="0"/>
    <n v="0"/>
    <n v="2782.4599999999996"/>
    <n v="77858.720000000001"/>
    <n v="0"/>
    <n v="77858.720000000001"/>
    <n v="0"/>
    <n v="100"/>
  </r>
  <r>
    <n v="145"/>
    <x v="144"/>
    <s v="1723.60"/>
    <s v="224068.00"/>
    <n v="0"/>
    <n v="0"/>
    <m/>
    <m/>
    <m/>
    <m/>
    <m/>
    <m/>
    <m/>
    <m/>
    <m/>
    <s v="0"/>
    <s v="2"/>
    <s v="4586"/>
    <s v="11"/>
    <s v="41200"/>
    <s v="3978"/>
    <n v="0"/>
    <n v="0"/>
    <n v="9.5299999999999994"/>
    <m/>
    <m/>
    <s v="SALES"/>
    <n v="631560"/>
    <n v="80815.199999999997"/>
    <n v="41707.068540000007"/>
    <n v="39108.13145999999"/>
    <n v="93.768593260138957"/>
    <n v="48.39204934220294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6"/>
    <x v="145"/>
    <s v="4835.39"/>
    <s v="434629.54"/>
    <n v="25"/>
    <n v="5775"/>
    <m/>
    <m/>
    <m/>
    <s v="109"/>
    <s v="132925"/>
    <s v="420206"/>
    <s v="7"/>
    <s v="12560"/>
    <s v="25938"/>
    <s v="245"/>
    <s v="9"/>
    <s v="30035"/>
    <s v="369"/>
    <s v="923212"/>
    <s v="36144"/>
    <n v="0"/>
    <n v="0"/>
    <n v="5.32"/>
    <m/>
    <m/>
    <s v="SALES"/>
    <n v="714345"/>
    <n v="125121.4"/>
    <n v="42129.240879999998"/>
    <n v="82992.159119999997"/>
    <n v="196.99419544822331"/>
    <n v="66.329308271806426"/>
    <n v="0"/>
    <n v="0"/>
    <n v="0"/>
    <n v="0"/>
    <n v="0"/>
    <n v="0"/>
    <n v="12504.470000000008"/>
    <n v="296259.99999999994"/>
    <n v="245777.20000000004"/>
    <n v="50482.799999999901"/>
    <n v="20.540066369052905"/>
    <n v="17.040032403969459"/>
    <n v="4206"/>
    <n v="353304"/>
    <n v="349060.2"/>
    <n v="4243.7999999999884"/>
    <n v="1.215778825543556"/>
    <n v="1.2011751919027207"/>
  </r>
  <r>
    <n v="147"/>
    <x v="146"/>
    <s v="28730.00"/>
    <s v="321244.52"/>
    <n v="28802"/>
    <n v="414181.5"/>
    <s v="5"/>
    <s v="16300"/>
    <s v="157621"/>
    <s v="16"/>
    <s v="26730"/>
    <s v="54423"/>
    <s v="11"/>
    <s v="16110"/>
    <s v="40672"/>
    <s v="330"/>
    <s v="10"/>
    <s v="34322"/>
    <s v="361"/>
    <s v="824700"/>
    <s v="58276"/>
    <n v="2418"/>
    <n v="0.26"/>
    <n v="10.51"/>
    <m/>
    <m/>
    <s v="SALES"/>
    <n v="552032"/>
    <n v="42068.99"/>
    <n v="25987.836496"/>
    <n v="16081.153503999998"/>
    <n v="61.879539324003282"/>
    <n v="38.225670509322896"/>
    <n v="0"/>
    <n v="0"/>
    <n v="0"/>
    <n v="0"/>
    <n v="0"/>
    <n v="0"/>
    <n v="15963.72"/>
    <n v="371869.56000000006"/>
    <n v="329397.75499999977"/>
    <n v="42471.805000000291"/>
    <n v="12.893774883195642"/>
    <n v="11.421156655037931"/>
    <n v="790.38000000000011"/>
    <n v="20356.16"/>
    <n v="0"/>
    <n v="20356.16"/>
    <n v="0"/>
    <n v="100"/>
  </r>
  <r>
    <n v="148"/>
    <x v="147"/>
    <s v="2715.00"/>
    <s v="16037.93"/>
    <n v="4488.46"/>
    <n v="210114.36"/>
    <s v="7"/>
    <s v="26000"/>
    <s v="251419"/>
    <s v="17"/>
    <s v="27315"/>
    <s v="89712"/>
    <s v="11"/>
    <s v="14480"/>
    <s v="42023"/>
    <s v="415"/>
    <s v="8"/>
    <s v="28466"/>
    <s v="344"/>
    <s v="455093"/>
    <s v="34450"/>
    <n v="1128"/>
    <n v="0.24"/>
    <n v="4.97"/>
    <m/>
    <m/>
    <s v="SALES"/>
    <n v="461490"/>
    <n v="68103.760000000009"/>
    <n v="38182.253660000002"/>
    <n v="29921.506340000007"/>
    <n v="78.364956155916971"/>
    <n v="43.935175297222948"/>
    <n v="0"/>
    <n v="0"/>
    <n v="0"/>
    <n v="0"/>
    <n v="0"/>
    <n v="0"/>
    <n v="0"/>
    <n v="0"/>
    <n v="0"/>
    <n v="0"/>
    <n v="0"/>
    <n v="0"/>
    <n v="384.08"/>
    <n v="10561.64"/>
    <n v="0"/>
    <n v="10561.64"/>
    <n v="0"/>
    <n v="100"/>
  </r>
  <r>
    <n v="149"/>
    <x v="148"/>
    <m/>
    <m/>
    <n v="1760.5700000000002"/>
    <n v="192962.94500000001"/>
    <s v="7"/>
    <s v="26590"/>
    <s v="257125"/>
    <s v="129"/>
    <s v="154250"/>
    <s v="395544"/>
    <s v="5"/>
    <s v="7250"/>
    <s v="23697"/>
    <s v="120"/>
    <s v="18"/>
    <s v="44116"/>
    <s v="325"/>
    <s v="1337570"/>
    <s v="39217"/>
    <n v="26728"/>
    <n v="1.98"/>
    <n v="0"/>
    <m/>
    <m/>
    <s v="SALES"/>
    <n v="490678"/>
    <n v="42705.599999999999"/>
    <n v="34007.522239999998"/>
    <n v="8698.0777600000001"/>
    <n v="25.576922948444711"/>
    <n v="20.367534374882919"/>
    <n v="0"/>
    <n v="0"/>
    <n v="0"/>
    <n v="0"/>
    <n v="0"/>
    <n v="0"/>
    <n v="14498.029999999995"/>
    <n v="347011.94999999995"/>
    <n v="273693.32"/>
    <n v="73318.629999999946"/>
    <n v="26.788607774570437"/>
    <n v="21.128560558217075"/>
    <n v="0"/>
    <n v="0"/>
    <n v="0"/>
    <n v="0"/>
    <n v="0"/>
    <n v="0"/>
  </r>
  <r>
    <n v="150"/>
    <x v="149"/>
    <m/>
    <m/>
    <n v="2109.6999999999998"/>
    <n v="213739.95"/>
    <s v="7"/>
    <s v="25700"/>
    <s v="257294"/>
    <s v="92"/>
    <s v="123905"/>
    <s v="290416"/>
    <s v="13"/>
    <s v="20172"/>
    <s v="75551"/>
    <s v="88"/>
    <s v="11"/>
    <s v="25753"/>
    <s v="388"/>
    <s v="2987350"/>
    <s v="82697"/>
    <n v="18880"/>
    <n v="0.59"/>
    <n v="4.22"/>
    <m/>
    <m/>
    <s v="SALES"/>
    <n v="734110"/>
    <n v="93684.66"/>
    <n v="58809.145320000011"/>
    <n v="34875.514679999993"/>
    <n v="59.30287626223911"/>
    <n v="37.22649436951577"/>
    <n v="0"/>
    <n v="0"/>
    <n v="0"/>
    <n v="0"/>
    <n v="0"/>
    <n v="0"/>
    <n v="12247.419999999996"/>
    <n v="292053.14000000007"/>
    <n v="229065.96999999988"/>
    <n v="62987.170000000187"/>
    <n v="27.497392999929332"/>
    <n v="21.567023727257364"/>
    <n v="5"/>
    <n v="3750"/>
    <n v="0"/>
    <n v="3750"/>
    <n v="0"/>
    <n v="100"/>
  </r>
  <r>
    <n v="151"/>
    <x v="150"/>
    <m/>
    <m/>
    <n v="1568.9999999999998"/>
    <n v="232838.9"/>
    <s v="8"/>
    <s v="24400"/>
    <s v="283368"/>
    <m/>
    <m/>
    <m/>
    <s v="14"/>
    <s v="17795"/>
    <s v="33483"/>
    <s v="280"/>
    <s v="15"/>
    <s v="36380"/>
    <s v="519"/>
    <s v="1226680"/>
    <s v="56860"/>
    <n v="-43862"/>
    <n v="0"/>
    <n v="4.9000000000000004"/>
    <m/>
    <m/>
    <s v="SALES"/>
    <n v="4064300"/>
    <n v="19370.490000000005"/>
    <n v="68446.152599999987"/>
    <n v="-49075.662599999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2"/>
    <x v="151"/>
    <s v="9710.00"/>
    <s v="1514336.26"/>
    <n v="351"/>
    <n v="44087.45"/>
    <m/>
    <m/>
    <m/>
    <m/>
    <m/>
    <m/>
    <m/>
    <m/>
    <m/>
    <m/>
    <m/>
    <m/>
    <m/>
    <m/>
    <m/>
    <n v="0"/>
    <n v="0"/>
    <n v="0"/>
    <m/>
    <m/>
    <s v="SALES"/>
    <n v="1295600"/>
    <n v="175187.81"/>
    <n v="84962.934699999983"/>
    <n v="90224.8753"/>
    <n v="106.19321898258303"/>
    <n v="51.501799868381262"/>
    <n v="0"/>
    <n v="0"/>
    <n v="0"/>
    <n v="0"/>
    <n v="0"/>
    <n v="0"/>
    <n v="0"/>
    <n v="0"/>
    <n v="0"/>
    <n v="0"/>
    <n v="0"/>
    <n v="0"/>
    <n v="2"/>
    <n v="1695"/>
    <n v="0"/>
    <n v="1695"/>
    <n v="0"/>
    <n v="100"/>
  </r>
  <r>
    <n v="153"/>
    <x v="152"/>
    <s v="3000.00"/>
    <s v="9712.50"/>
    <n v="5618.66"/>
    <n v="286804.70999999996"/>
    <s v="6"/>
    <s v="22000"/>
    <s v="212740"/>
    <s v="51"/>
    <s v="68370"/>
    <s v="188433"/>
    <s v="6"/>
    <s v="7880"/>
    <s v="13432"/>
    <s v="0"/>
    <s v="9"/>
    <s v="31064"/>
    <s v="306"/>
    <s v="854695"/>
    <s v="38672"/>
    <n v="7763"/>
    <n v="0.82"/>
    <n v="4.76"/>
    <m/>
    <m/>
    <s v="SALES"/>
    <n v="236490"/>
    <n v="41650.559999999998"/>
    <n v="19665.463244999999"/>
    <n v="21985.096754999999"/>
    <n v="111.79546843672637"/>
    <n v="52.784636641139997"/>
    <n v="0"/>
    <n v="0"/>
    <n v="0"/>
    <n v="0"/>
    <n v="0"/>
    <n v="0"/>
    <n v="1501.9199999999996"/>
    <n v="36046.080000000002"/>
    <n v="28118.250000000004"/>
    <n v="7927.8299999999981"/>
    <n v="28.194606705609338"/>
    <n v="21.993598194311275"/>
    <n v="0"/>
    <n v="0"/>
    <n v="0"/>
    <n v="0"/>
    <n v="0"/>
    <n v="0"/>
  </r>
  <r>
    <n v="154"/>
    <x v="153"/>
    <s v="14900.00"/>
    <s v="8493.00"/>
    <n v="15892.78"/>
    <n v="114577.64000000004"/>
    <s v="5"/>
    <s v="25620"/>
    <s v="247744"/>
    <s v="129"/>
    <s v="126900"/>
    <s v="354378"/>
    <s v="10"/>
    <s v="12760"/>
    <s v="27111"/>
    <s v="155"/>
    <s v="16"/>
    <s v="61442"/>
    <s v="383"/>
    <s v="316130"/>
    <s v="70939"/>
    <n v="5575"/>
    <n v="1.1100000000000001"/>
    <n v="22.82"/>
    <m/>
    <m/>
    <s v="SALES"/>
    <n v="0"/>
    <n v="0"/>
    <n v="0"/>
    <n v="0"/>
    <n v="0"/>
    <n v="0"/>
    <n v="0"/>
    <n v="0"/>
    <n v="0"/>
    <n v="0"/>
    <n v="0"/>
    <n v="0"/>
    <n v="6319.489999999998"/>
    <n v="146563.02999999997"/>
    <n v="114313.07999999996"/>
    <n v="32249.949999999997"/>
    <n v="28.21195089835739"/>
    <n v="22.004150705672505"/>
    <n v="0"/>
    <n v="0"/>
    <n v="0"/>
    <n v="0"/>
    <n v="0"/>
    <n v="0"/>
  </r>
  <r>
    <n v="155"/>
    <x v="154"/>
    <m/>
    <m/>
    <n v="2490.38"/>
    <n v="248642.43999999997"/>
    <s v="9"/>
    <s v="26420"/>
    <s v="255481"/>
    <s v="82"/>
    <s v="113085"/>
    <s v="291988"/>
    <s v="9"/>
    <s v="12875"/>
    <s v="48319"/>
    <s v="490"/>
    <s v="7"/>
    <s v="23212"/>
    <s v="437"/>
    <s v="605080"/>
    <s v="47439"/>
    <n v="-15056"/>
    <n v="0"/>
    <n v="0"/>
    <m/>
    <m/>
    <s v="SALES"/>
    <n v="1277780"/>
    <n v="117527.8"/>
    <n v="102548.40543999996"/>
    <n v="14979.39456000003"/>
    <n v="14.607145275178675"/>
    <n v="12.745405393447362"/>
    <n v="0"/>
    <n v="0"/>
    <n v="0"/>
    <n v="0"/>
    <n v="0"/>
    <n v="0"/>
    <n v="16031.570000000003"/>
    <n v="366036.37999999989"/>
    <n v="305753.41499999992"/>
    <n v="60282.964999999967"/>
    <n v="19.716203333329897"/>
    <n v="16.469118452105768"/>
    <n v="643.75"/>
    <n v="17703.12"/>
    <n v="0"/>
    <n v="17703.12"/>
    <n v="0"/>
    <n v="100"/>
  </r>
  <r>
    <n v="156"/>
    <x v="155"/>
    <s v="6897.72"/>
    <s v="542471.00"/>
    <n v="5943.78"/>
    <n v="459975.93000000005"/>
    <s v="7"/>
    <s v="25500"/>
    <s v="246583"/>
    <s v="93"/>
    <s v="122880"/>
    <s v="283844"/>
    <s v="21"/>
    <s v="24430"/>
    <s v="80000"/>
    <s v="750"/>
    <s v="20"/>
    <s v="31546"/>
    <s v="316"/>
    <s v="1555845"/>
    <s v="71322"/>
    <n v="3284"/>
    <n v="0.21"/>
    <n v="0"/>
    <m/>
    <m/>
    <s v="SALES"/>
    <n v="633580"/>
    <n v="70840.27"/>
    <n v="41417.761180000009"/>
    <n v="29422.508819999995"/>
    <n v="71.038385421488371"/>
    <n v="41.533592150340468"/>
    <n v="0"/>
    <n v="0"/>
    <n v="0"/>
    <n v="0"/>
    <n v="0"/>
    <n v="0"/>
    <n v="18293.46000000001"/>
    <n v="439042.79999999981"/>
    <n v="340460.24999999988"/>
    <n v="98582.549999999916"/>
    <n v="28.955671036486631"/>
    <n v="22.453972596749104"/>
    <n v="348.8"/>
    <n v="16655.5"/>
    <n v="0"/>
    <n v="16655.5"/>
    <n v="0"/>
    <n v="100"/>
  </r>
  <r>
    <n v="157"/>
    <x v="156"/>
    <s v="53825.00"/>
    <s v="146057.84"/>
    <n v="57756.36"/>
    <n v="346539.28"/>
    <s v="8"/>
    <s v="30460"/>
    <s v="314347"/>
    <s v="28"/>
    <s v="55825"/>
    <s v="149851"/>
    <s v="19"/>
    <s v="22770"/>
    <s v="52148"/>
    <s v="575"/>
    <s v="10"/>
    <s v="39294"/>
    <s v="418"/>
    <s v="2130740"/>
    <s v="71772"/>
    <n v="-1646"/>
    <n v="0"/>
    <n v="8.09"/>
    <m/>
    <m/>
    <s v="SALES"/>
    <n v="240000"/>
    <n v="33120"/>
    <n v="13893.660000000002"/>
    <n v="19226.339999999997"/>
    <n v="138.38211097723706"/>
    <n v="58.050543478260863"/>
    <n v="0"/>
    <n v="0"/>
    <n v="0"/>
    <n v="0"/>
    <n v="0"/>
    <n v="0"/>
    <n v="9308.16"/>
    <n v="247834.59"/>
    <n v="206772.70499999999"/>
    <n v="41061.885000000009"/>
    <n v="19.858464878137571"/>
    <n v="16.568262323673224"/>
    <n v="0"/>
    <n v="0"/>
    <n v="0"/>
    <n v="0"/>
    <n v="0"/>
    <n v="0"/>
  </r>
  <r>
    <n v="158"/>
    <x v="157"/>
    <s v="17455.00"/>
    <s v="474376.40"/>
    <n v="16394.579999999998"/>
    <n v="330349.19"/>
    <s v="7"/>
    <s v="27490"/>
    <s v="270014"/>
    <s v="92"/>
    <s v="104165"/>
    <s v="300310"/>
    <s v="10"/>
    <s v="15850"/>
    <s v="34597"/>
    <s v="100"/>
    <s v="10"/>
    <s v="15185"/>
    <s v="314"/>
    <s v="195170"/>
    <s v="28132"/>
    <n v="0"/>
    <n v="0"/>
    <n v="9.2200000000000006"/>
    <m/>
    <m/>
    <s v="SALES"/>
    <n v="321000"/>
    <n v="42644"/>
    <n v="15005.705000000002"/>
    <n v="27638.294999999998"/>
    <n v="184.18524821059719"/>
    <n v="64.81168511396678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9"/>
    <x v="158"/>
    <m/>
    <m/>
    <n v="0"/>
    <n v="0"/>
    <m/>
    <m/>
    <m/>
    <m/>
    <m/>
    <m/>
    <m/>
    <m/>
    <m/>
    <m/>
    <m/>
    <m/>
    <s v="15"/>
    <s v="30750"/>
    <s v="582"/>
    <n v="-18140"/>
    <n v="0"/>
    <n v="0"/>
    <m/>
    <m/>
    <s v="SALES"/>
    <n v="163700"/>
    <n v="25422.799999999999"/>
    <n v="18701.839899999999"/>
    <n v="6720.9601000000002"/>
    <n v="35.937427204689101"/>
    <n v="26.43674221564894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0"/>
    <x v="159"/>
    <s v="18545.00"/>
    <s v="871839.00"/>
    <n v="10181.459999999999"/>
    <n v="279384.09000000003"/>
    <s v="5"/>
    <s v="20250"/>
    <s v="258592"/>
    <s v="86"/>
    <s v="122080"/>
    <s v="306669"/>
    <s v="9"/>
    <s v="10600"/>
    <s v="25065"/>
    <s v="190"/>
    <s v="29"/>
    <s v="71733"/>
    <s v="479"/>
    <s v="1056120"/>
    <s v="81945"/>
    <n v="18880"/>
    <n v="1.7"/>
    <n v="0.85"/>
    <m/>
    <m/>
    <s v="SALES"/>
    <n v="977035"/>
    <n v="209916.75"/>
    <n v="117859.56572"/>
    <n v="92057.184280000001"/>
    <n v="78.107520350703695"/>
    <n v="43.85413945290216"/>
    <n v="0"/>
    <n v="0"/>
    <n v="0"/>
    <n v="0"/>
    <n v="0"/>
    <n v="0"/>
    <n v="6111.26"/>
    <n v="156473.86000000004"/>
    <n v="115413.13000000003"/>
    <n v="41060.73000000001"/>
    <n v="35.57717393159686"/>
    <n v="26.241271225749784"/>
    <n v="7"/>
    <n v="5250"/>
    <n v="0"/>
    <n v="5250"/>
    <n v="0"/>
    <n v="100"/>
  </r>
  <r>
    <n v="161"/>
    <x v="160"/>
    <s v="2940.00"/>
    <s v="0.00"/>
    <n v="4430"/>
    <n v="244961.03"/>
    <s v="6"/>
    <s v="21100"/>
    <s v="223264"/>
    <s v="34"/>
    <s v="44730"/>
    <s v="107792"/>
    <s v="10"/>
    <s v="8820"/>
    <s v="20155"/>
    <s v="190"/>
    <s v="13"/>
    <s v="33169"/>
    <s v="738"/>
    <s v="1129870"/>
    <s v="74852"/>
    <n v="0"/>
    <n v="0"/>
    <n v="3.81"/>
    <m/>
    <m/>
    <s v="SALES"/>
    <n v="2040660"/>
    <n v="137975.44999999998"/>
    <n v="90711.251669999998"/>
    <n v="47264.198329999985"/>
    <n v="52.104008554466006"/>
    <n v="34.255513085842438"/>
    <n v="0"/>
    <n v="0"/>
    <n v="0"/>
    <n v="0"/>
    <n v="0"/>
    <n v="0"/>
    <n v="9992.4"/>
    <n v="241797.48"/>
    <n v="192170.19999999981"/>
    <n v="49627.280000000203"/>
    <n v="25.824649191185863"/>
    <n v="20.524316465167544"/>
    <n v="1573"/>
    <n v="42968.75"/>
    <n v="0"/>
    <n v="42968.75"/>
    <n v="0"/>
    <n v="100"/>
  </r>
  <r>
    <n v="162"/>
    <x v="161"/>
    <s v="19420.00"/>
    <s v="37978.68"/>
    <n v="22104.080000000002"/>
    <n v="393632.94000000006"/>
    <s v="9"/>
    <s v="30150"/>
    <s v="317036"/>
    <s v="54"/>
    <s v="77785"/>
    <s v="200206"/>
    <s v="5"/>
    <s v="4990"/>
    <s v="16495"/>
    <s v="40"/>
    <s v="17"/>
    <s v="50043"/>
    <s v="440"/>
    <s v="717255"/>
    <s v="47056"/>
    <n v="0"/>
    <n v="0"/>
    <n v="1.1399999999999999"/>
    <m/>
    <m/>
    <s v="SALES"/>
    <n v="1178935"/>
    <n v="82609.680000000008"/>
    <n v="44718.644655000011"/>
    <n v="37891.035344999997"/>
    <n v="84.732074590644785"/>
    <n v="45.867548869575572"/>
    <n v="0"/>
    <n v="0"/>
    <n v="0"/>
    <n v="0"/>
    <n v="0"/>
    <n v="0"/>
    <n v="13871.400000000003"/>
    <n v="332716.15999999997"/>
    <n v="268393.685"/>
    <n v="64322.474999999977"/>
    <n v="23.965718492966769"/>
    <n v="19.332537079052603"/>
    <n v="1014.5"/>
    <n v="28454.5"/>
    <n v="0"/>
    <n v="28454.5"/>
    <n v="0"/>
    <n v="100"/>
  </r>
  <r>
    <n v="163"/>
    <x v="162"/>
    <s v="13060.00"/>
    <s v="24231.90"/>
    <n v="13858"/>
    <n v="96045.4"/>
    <s v="7"/>
    <s v="23250"/>
    <s v="241668"/>
    <s v="28"/>
    <s v="41990"/>
    <s v="112730"/>
    <s v="13"/>
    <s v="16740"/>
    <s v="37241"/>
    <s v="215"/>
    <s v="8"/>
    <s v="22495"/>
    <s v="322"/>
    <s v="486700"/>
    <s v="42999"/>
    <n v="-200"/>
    <n v="0"/>
    <n v="0"/>
    <m/>
    <m/>
    <s v="SALES"/>
    <n v="724740"/>
    <n v="120368.4"/>
    <n v="70179.201260000002"/>
    <n v="50189.198739999993"/>
    <n v="71.515773674965288"/>
    <n v="41.69632456691290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4"/>
    <x v="163"/>
    <s v="74110.00"/>
    <s v="142158.33"/>
    <n v="75924"/>
    <n v="356184.69999999995"/>
    <s v="8"/>
    <s v="27750"/>
    <s v="286380"/>
    <s v="61"/>
    <s v="106890"/>
    <s v="294477"/>
    <s v="11"/>
    <s v="20205"/>
    <s v="84675"/>
    <s v="0"/>
    <s v="12"/>
    <s v="37957"/>
    <s v="240"/>
    <s v="993250"/>
    <s v="106280"/>
    <n v="0"/>
    <n v="0"/>
    <n v="4.21"/>
    <m/>
    <m/>
    <s v="SALES"/>
    <n v="1177160"/>
    <n v="171773.71"/>
    <n v="85575.537999999986"/>
    <n v="86198.172000000006"/>
    <n v="100.72758409067792"/>
    <n v="50.181236697978989"/>
    <n v="0"/>
    <n v="0"/>
    <n v="0"/>
    <n v="0"/>
    <n v="0"/>
    <n v="0"/>
    <n v="0"/>
    <n v="0"/>
    <n v="0"/>
    <n v="0"/>
    <n v="0"/>
    <n v="0"/>
    <n v="365.8"/>
    <n v="8413.4"/>
    <n v="0"/>
    <n v="8413.4"/>
    <n v="0"/>
    <n v="100"/>
  </r>
  <r>
    <n v="165"/>
    <x v="164"/>
    <m/>
    <m/>
    <n v="2998.6"/>
    <n v="322554"/>
    <s v="7"/>
    <s v="26390"/>
    <s v="274877"/>
    <s v="150"/>
    <s v="211900"/>
    <s v="568824"/>
    <s v="8"/>
    <s v="6680"/>
    <s v="26231"/>
    <s v="320"/>
    <s v="12"/>
    <s v="47052"/>
    <s v="380"/>
    <s v="903630"/>
    <s v="87173"/>
    <n v="0"/>
    <n v="0"/>
    <n v="6.59"/>
    <m/>
    <m/>
    <s v="SALES"/>
    <n v="6300"/>
    <n v="8820"/>
    <n v="42518.297100000003"/>
    <n v="-33698.297099999996"/>
    <n v="0"/>
    <n v="0"/>
    <n v="0"/>
    <n v="0"/>
    <n v="0"/>
    <n v="0"/>
    <n v="0"/>
    <n v="0"/>
    <n v="27474.49000000002"/>
    <n v="641636.93000000017"/>
    <n v="549527.18999999971"/>
    <n v="92109.740000000456"/>
    <n v="16.761634669978843"/>
    <n v="14.355429946964"/>
    <n v="1786.78"/>
    <n v="49136.45"/>
    <n v="0"/>
    <n v="49136.45"/>
    <n v="0"/>
    <n v="100"/>
  </r>
  <r>
    <n v="166"/>
    <x v="165"/>
    <m/>
    <m/>
    <n v="0"/>
    <n v="0"/>
    <m/>
    <m/>
    <m/>
    <m/>
    <m/>
    <m/>
    <m/>
    <m/>
    <m/>
    <m/>
    <s v="6"/>
    <s v="7502"/>
    <s v="8"/>
    <s v="3570"/>
    <s v="1152"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7"/>
    <x v="166"/>
    <m/>
    <m/>
    <n v="2536"/>
    <n v="294568.45"/>
    <s v="8"/>
    <s v="28750"/>
    <s v="307050"/>
    <s v="35"/>
    <s v="52930"/>
    <s v="154778"/>
    <s v="7"/>
    <s v="11120"/>
    <s v="39588"/>
    <s v="170"/>
    <s v="21"/>
    <s v="54021"/>
    <s v="343"/>
    <s v="1699555"/>
    <s v="81799"/>
    <n v="-2373"/>
    <n v="0"/>
    <n v="2.63"/>
    <m/>
    <m/>
    <s v="SALES"/>
    <n v="346000"/>
    <n v="40415.199999999997"/>
    <n v="22175.619140000003"/>
    <n v="18239.580859999995"/>
    <n v="82.250604796416937"/>
    <n v="45.13049758506699"/>
    <n v="0"/>
    <n v="0"/>
    <n v="0"/>
    <n v="0"/>
    <n v="0"/>
    <n v="0"/>
    <n v="2435.9799999999996"/>
    <n v="58463.519999999997"/>
    <n v="47194.14"/>
    <n v="11269.380000000005"/>
    <n v="23.878769694712108"/>
    <n v="19.275917700473737"/>
    <n v="0"/>
    <n v="0"/>
    <n v="0"/>
    <n v="0"/>
    <n v="0"/>
    <n v="0"/>
  </r>
  <r>
    <n v="168"/>
    <x v="167"/>
    <s v="15223.02"/>
    <s v="1394124.14"/>
    <n v="2416"/>
    <n v="272937.75"/>
    <s v="7"/>
    <s v="29350"/>
    <s v="313458"/>
    <s v="66"/>
    <s v="102320"/>
    <s v="295485"/>
    <s v="8"/>
    <s v="10980"/>
    <s v="50760"/>
    <s v="80"/>
    <s v="3"/>
    <s v="5767"/>
    <s v="49"/>
    <s v="214550"/>
    <s v="28107"/>
    <n v="-1530"/>
    <n v="0"/>
    <n v="16.43"/>
    <m/>
    <m/>
    <s v="SALES"/>
    <n v="1172403"/>
    <n v="96767.42"/>
    <n v="56096.17162400001"/>
    <n v="40671.248375999989"/>
    <n v="72.502716671309045"/>
    <n v="42.029898467893418"/>
    <n v="0"/>
    <n v="0"/>
    <n v="0"/>
    <n v="0"/>
    <n v="0"/>
    <n v="0"/>
    <n v="6313.18"/>
    <n v="148991.63999999996"/>
    <n v="127109.11"/>
    <n v="21882.52999999997"/>
    <n v="17.215548122396555"/>
    <n v="14.687085798907894"/>
    <n v="562.70000000000005"/>
    <n v="148705.75"/>
    <n v="0"/>
    <n v="148705.75"/>
    <n v="0"/>
    <n v="100"/>
  </r>
  <r>
    <n v="169"/>
    <x v="168"/>
    <s v="4446.90"/>
    <s v="1206858.00"/>
    <n v="1989.2"/>
    <n v="367365.29200000002"/>
    <s v="6"/>
    <s v="27300"/>
    <s v="291564"/>
    <s v="45"/>
    <s v="61210"/>
    <s v="194162"/>
    <s v="11"/>
    <s v="15020"/>
    <s v="51659"/>
    <s v="290"/>
    <s v="14"/>
    <s v="45353"/>
    <s v="302"/>
    <s v="452878"/>
    <s v="92238"/>
    <n v="-22092"/>
    <n v="0"/>
    <n v="3.28"/>
    <m/>
    <m/>
    <s v="SALES"/>
    <n v="435630"/>
    <n v="31568.86"/>
    <n v="28673.29074"/>
    <n v="2895.5692600000002"/>
    <n v="10.098489518542092"/>
    <n v="9.1722325734917263"/>
    <n v="0"/>
    <n v="0"/>
    <n v="0"/>
    <n v="0"/>
    <n v="0"/>
    <n v="0"/>
    <n v="15582.740000000003"/>
    <n v="373985.63999999984"/>
    <n v="321743.05000000005"/>
    <n v="52242.589999999793"/>
    <n v="16.237363946167534"/>
    <n v="13.969143307213564"/>
    <n v="382.8"/>
    <n v="10527"/>
    <n v="0"/>
    <n v="10527"/>
    <n v="0"/>
    <n v="100"/>
  </r>
  <r>
    <n v="170"/>
    <x v="169"/>
    <m/>
    <m/>
    <n v="2601.7600000000002"/>
    <n v="389498.02480000001"/>
    <s v="9"/>
    <s v="25800"/>
    <s v="287120"/>
    <s v="58"/>
    <s v="87910"/>
    <s v="265944"/>
    <s v="14"/>
    <s v="17460"/>
    <s v="57935"/>
    <s v="255"/>
    <s v="10"/>
    <s v="50252"/>
    <s v="160"/>
    <s v="306280"/>
    <s v="31526"/>
    <n v="0"/>
    <n v="0"/>
    <n v="11.74"/>
    <m/>
    <m/>
    <s v="SALES"/>
    <n v="1656320"/>
    <n v="343275.38"/>
    <n v="208241.79052000001"/>
    <n v="135033.58948000002"/>
    <n v="64.844616031589069"/>
    <n v="39.336811594236679"/>
    <n v="0"/>
    <n v="0"/>
    <n v="0"/>
    <n v="0"/>
    <n v="0"/>
    <n v="0"/>
    <n v="0"/>
    <n v="0"/>
    <n v="0"/>
    <n v="0"/>
    <n v="0"/>
    <n v="0"/>
    <n v="5"/>
    <n v="3000"/>
    <n v="0"/>
    <n v="3000"/>
    <n v="0"/>
    <n v="100"/>
  </r>
  <r>
    <n v="171"/>
    <x v="170"/>
    <s v="2550.00"/>
    <s v="0.00"/>
    <n v="3876.28"/>
    <n v="151585.3224"/>
    <s v="6"/>
    <s v="23750"/>
    <s v="247026"/>
    <s v="79"/>
    <s v="101830"/>
    <s v="240253"/>
    <s v="13"/>
    <s v="16830"/>
    <s v="43369"/>
    <s v="250"/>
    <s v="13"/>
    <s v="46191"/>
    <s v="180"/>
    <s v="428680"/>
    <s v="39928"/>
    <n v="0"/>
    <n v="0"/>
    <n v="7.19"/>
    <m/>
    <m/>
    <s v="SALES"/>
    <n v="158540"/>
    <n v="32994.68"/>
    <n v="19951.145699999997"/>
    <n v="13043.534300000005"/>
    <n v="65.37736978182663"/>
    <n v="39.532234590546125"/>
    <n v="0"/>
    <n v="0"/>
    <n v="0"/>
    <n v="0"/>
    <n v="0"/>
    <n v="0"/>
    <n v="11681.029999999995"/>
    <n v="267660.31999999995"/>
    <n v="233056.26000000004"/>
    <n v="34604.05999999991"/>
    <n v="14.847942724215994"/>
    <n v="12.928348886379542"/>
    <n v="0"/>
    <n v="0"/>
    <n v="0"/>
    <n v="0"/>
    <n v="0"/>
    <n v="0"/>
  </r>
  <r>
    <n v="172"/>
    <x v="171"/>
    <m/>
    <m/>
    <n v="0"/>
    <n v="0"/>
    <m/>
    <m/>
    <m/>
    <m/>
    <m/>
    <m/>
    <s v="14"/>
    <s v="17340"/>
    <s v="49941"/>
    <s v="430"/>
    <s v="7"/>
    <s v="33949"/>
    <s v="229"/>
    <s v="515960"/>
    <s v="63213"/>
    <n v="7954"/>
    <n v="1.32"/>
    <n v="12.37"/>
    <m/>
    <m/>
    <s v="SALES"/>
    <n v="498660"/>
    <n v="36624.42"/>
    <n v="26129.535"/>
    <n v="10494.884999999998"/>
    <n v="40.164836458054069"/>
    <n v="28.655429901688542"/>
    <n v="0"/>
    <n v="0"/>
    <n v="0"/>
    <n v="0"/>
    <n v="0"/>
    <n v="0"/>
    <n v="0"/>
    <n v="0"/>
    <n v="0"/>
    <n v="0"/>
    <n v="0"/>
    <n v="0"/>
    <n v="672"/>
    <n v="21504"/>
    <n v="0"/>
    <n v="21504"/>
    <n v="0"/>
    <n v="100"/>
  </r>
  <r>
    <n v="173"/>
    <x v="172"/>
    <m/>
    <m/>
    <n v="14"/>
    <n v="5427"/>
    <m/>
    <m/>
    <m/>
    <m/>
    <m/>
    <m/>
    <s v="2"/>
    <s v="2530"/>
    <s v="9047"/>
    <s v="60"/>
    <s v="2"/>
    <s v="6075"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1450.35"/>
    <n v="49311.899999999994"/>
    <n v="39801.81"/>
    <n v="9510.0899999999965"/>
    <n v="23.893611873429869"/>
    <n v="19.285588265712732"/>
    <n v="0"/>
    <n v="0"/>
    <n v="0"/>
    <n v="0"/>
    <n v="0"/>
    <n v="0"/>
  </r>
  <r>
    <n v="174"/>
    <x v="173"/>
    <s v="7651.00"/>
    <s v="709859.78"/>
    <n v="2191.3000000000002"/>
    <n v="250987.63399999999"/>
    <s v="7"/>
    <s v="25450"/>
    <s v="262644"/>
    <s v="83"/>
    <s v="102635"/>
    <s v="312564"/>
    <s v="5"/>
    <s v="9990"/>
    <s v="15086"/>
    <s v="410"/>
    <s v="19"/>
    <s v="80557"/>
    <s v="402"/>
    <s v="644470"/>
    <s v="62824"/>
    <n v="16510"/>
    <n v="2.37"/>
    <n v="5.0599999999999996"/>
    <m/>
    <m/>
    <s v="SALES"/>
    <n v="55460"/>
    <n v="17913.900000000001"/>
    <n v="9473.0125200000002"/>
    <n v="8440.8874800000012"/>
    <n v="89.104574307054762"/>
    <n v="47.119206203004374"/>
    <n v="0"/>
    <n v="0"/>
    <n v="0"/>
    <n v="0"/>
    <n v="0"/>
    <n v="0"/>
    <n v="7040.8399999999992"/>
    <n v="176480.63999999998"/>
    <n v="149001.44000000003"/>
    <n v="27479.199999999953"/>
    <n v="18.442237873674205"/>
    <n v="15.570659761886604"/>
    <n v="2"/>
    <n v="1400"/>
    <n v="0"/>
    <n v="1400"/>
    <n v="0"/>
    <n v="100"/>
  </r>
  <r>
    <n v="175"/>
    <x v="174"/>
    <s v="44260.00"/>
    <s v="132107.17"/>
    <n v="47051.06"/>
    <n v="614646.93479999993"/>
    <s v="8"/>
    <s v="26300"/>
    <s v="276798"/>
    <s v="38"/>
    <s v="59060"/>
    <s v="149945"/>
    <s v="7"/>
    <s v="8905"/>
    <s v="16634"/>
    <s v="100"/>
    <s v="17"/>
    <s v="57707"/>
    <s v="681"/>
    <s v="1062555"/>
    <s v="78700"/>
    <n v="100392"/>
    <n v="8.56"/>
    <n v="0.91"/>
    <m/>
    <m/>
    <s v="SALES"/>
    <n v="1231200"/>
    <n v="84580"/>
    <n v="127898.34759999999"/>
    <n v="-43318.347600000008"/>
    <n v="0"/>
    <n v="0"/>
    <n v="0"/>
    <n v="0"/>
    <n v="0"/>
    <n v="0"/>
    <n v="0"/>
    <n v="0"/>
    <n v="2240.5799999999995"/>
    <n v="59370.720000000008"/>
    <n v="48868.079999999994"/>
    <n v="10502.640000000014"/>
    <n v="21.491820427567472"/>
    <n v="17.689932006888263"/>
    <n v="4726.42"/>
    <n v="108707.66"/>
    <n v="0"/>
    <n v="108707.66"/>
    <n v="0"/>
    <n v="100"/>
  </r>
  <r>
    <n v="176"/>
    <x v="175"/>
    <s v="290.00"/>
    <s v="104010.00"/>
    <n v="1629.34"/>
    <n v="186664.67720000001"/>
    <s v="9"/>
    <s v="26400"/>
    <s v="281952"/>
    <s v="74"/>
    <s v="101745"/>
    <s v="343475"/>
    <s v="21"/>
    <s v="27755"/>
    <s v="77233"/>
    <s v="175"/>
    <s v="6"/>
    <s v="21664"/>
    <s v="464"/>
    <s v="1026385"/>
    <s v="79387"/>
    <n v="111115"/>
    <n v="9.16"/>
    <n v="2.0499999999999998"/>
    <m/>
    <m/>
    <s v="SALES"/>
    <n v="1302780"/>
    <n v="109648.06"/>
    <n v="93193.035889999999"/>
    <n v="16455.024109999998"/>
    <n v="17.656924632676006"/>
    <n v="15.007127449404942"/>
    <n v="0"/>
    <n v="0"/>
    <n v="0"/>
    <n v="0"/>
    <n v="0"/>
    <n v="0"/>
    <n v="12975.08"/>
    <n v="311401.8"/>
    <n v="267259.78500000003"/>
    <n v="44142.014999999948"/>
    <n v="16.51651968514453"/>
    <n v="14.175260065934095"/>
    <n v="1515.42"/>
    <n v="40151.160000000003"/>
    <n v="0"/>
    <n v="40151.160000000003"/>
    <n v="0"/>
    <n v="100"/>
  </r>
  <r>
    <n v="177"/>
    <x v="176"/>
    <s v="75892.60"/>
    <s v="470085.90"/>
    <n v="80900.12000000001"/>
    <n v="978705.03960000002"/>
    <s v="6"/>
    <s v="27350"/>
    <s v="292098"/>
    <s v="92"/>
    <s v="138910"/>
    <s v="393232"/>
    <s v="9"/>
    <s v="14575"/>
    <s v="47931"/>
    <s v="30"/>
    <s v="9"/>
    <s v="38114"/>
    <s v="534"/>
    <s v="786810"/>
    <s v="74134"/>
    <n v="4464"/>
    <n v="0.54"/>
    <n v="0.74"/>
    <m/>
    <m/>
    <s v="SALES"/>
    <n v="902875"/>
    <n v="158458.75"/>
    <n v="81973.517089999994"/>
    <n v="76485.232910000006"/>
    <n v="93.304808217543822"/>
    <n v="48.268229371997442"/>
    <n v="0"/>
    <n v="0"/>
    <n v="0"/>
    <n v="0"/>
    <n v="0"/>
    <n v="0"/>
    <n v="5947.670000000001"/>
    <n v="139769.79"/>
    <n v="118790.65499999996"/>
    <n v="20979.135000000038"/>
    <n v="17.660593756301825"/>
    <n v="15.009777864014849"/>
    <n v="0"/>
    <n v="0"/>
    <n v="0"/>
    <n v="0"/>
    <n v="0"/>
    <n v="0"/>
  </r>
  <r>
    <n v="178"/>
    <x v="177"/>
    <s v="11800.00"/>
    <s v="28965.76"/>
    <n v="13368.1"/>
    <n v="313444.20000000007"/>
    <s v="5"/>
    <s v="18350"/>
    <s v="228090"/>
    <s v="6"/>
    <s v="11800"/>
    <s v="28968"/>
    <s v="10"/>
    <s v="13730"/>
    <s v="22599"/>
    <s v="350"/>
    <s v="6"/>
    <s v="19159"/>
    <s v="502"/>
    <s v="963020"/>
    <s v="63075"/>
    <n v="91924"/>
    <n v="7.15"/>
    <n v="0.36"/>
    <m/>
    <m/>
    <s v="SALES"/>
    <n v="291940"/>
    <n v="52199.000000000007"/>
    <n v="30188.00578"/>
    <n v="22010.994220000008"/>
    <n v="72.913044937147248"/>
    <n v="42.167463399681992"/>
    <n v="0"/>
    <n v="0"/>
    <n v="0"/>
    <n v="0"/>
    <n v="0"/>
    <n v="0"/>
    <n v="7699.53"/>
    <n v="190946.25"/>
    <n v="162343.44499999998"/>
    <n v="28602.805000000026"/>
    <n v="17.618700280753576"/>
    <n v="14.979506012817756"/>
    <n v="941"/>
    <n v="27000"/>
    <n v="0"/>
    <n v="27000"/>
    <n v="0"/>
    <n v="100"/>
  </r>
  <r>
    <n v="179"/>
    <x v="178"/>
    <m/>
    <m/>
    <n v="0"/>
    <n v="0"/>
    <m/>
    <m/>
    <m/>
    <s v="4"/>
    <s v="5080"/>
    <s v="13350"/>
    <s v="10"/>
    <s v="16410"/>
    <s v="34730"/>
    <s v="110"/>
    <s v="14"/>
    <s v="25115"/>
    <s v="246"/>
    <s v="894520"/>
    <s v="51627"/>
    <n v="16576"/>
    <n v="1.67"/>
    <n v="5.17"/>
    <m/>
    <m/>
    <s v="SALES"/>
    <n v="1005420"/>
    <n v="177261.68"/>
    <n v="101932.52103999998"/>
    <n v="75329.158960000015"/>
    <n v="73.901006461362442"/>
    <n v="42.49601998581984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0"/>
    <x v="179"/>
    <m/>
    <m/>
    <n v="0"/>
    <n v="0"/>
    <m/>
    <m/>
    <m/>
    <m/>
    <m/>
    <m/>
    <m/>
    <m/>
    <m/>
    <m/>
    <m/>
    <m/>
    <m/>
    <m/>
    <m/>
    <n v="0"/>
    <n v="0"/>
    <n v="0"/>
    <m/>
    <m/>
    <s v="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1"/>
    <x v="180"/>
    <s v="58765.00"/>
    <s v="223890.94"/>
    <n v="60678.920000000006"/>
    <n v="597713.72000000009"/>
    <s v="6"/>
    <s v="20890"/>
    <s v="41345"/>
    <s v="75"/>
    <s v="132105"/>
    <s v="418257"/>
    <s v="10"/>
    <s v="15390"/>
    <s v="55606"/>
    <s v="0"/>
    <s v="9"/>
    <s v="17596"/>
    <s v="229"/>
    <s v="441815"/>
    <s v="23259"/>
    <n v="40443"/>
    <n v="6.34"/>
    <n v="0"/>
    <m/>
    <m/>
    <s v="SALES"/>
    <n v="508580"/>
    <n v="36402.410000000003"/>
    <n v="32491.216119999997"/>
    <n v="3911.1938799999989"/>
    <n v="12.037696174728469"/>
    <n v="10.744326762980799"/>
    <n v="0"/>
    <n v="0"/>
    <n v="0"/>
    <n v="0"/>
    <n v="0"/>
    <n v="0"/>
    <n v="8017.04"/>
    <n v="275219.26"/>
    <n v="203211.4899999999"/>
    <n v="72007.770000000106"/>
    <n v="35.434891009361792"/>
    <n v="26.16378301431379"/>
    <n v="1734"/>
    <n v="29179"/>
    <n v="0"/>
    <n v="29179"/>
    <n v="0"/>
    <n v="100"/>
  </r>
  <r>
    <n v="182"/>
    <x v="181"/>
    <m/>
    <m/>
    <n v="1046.5"/>
    <n v="230199.13"/>
    <s v="4"/>
    <s v="16200"/>
    <s v="0"/>
    <s v="33"/>
    <s v="48200"/>
    <s v="83169"/>
    <s v="11"/>
    <s v="16290"/>
    <s v="48997"/>
    <s v="60"/>
    <s v="13"/>
    <s v="28588"/>
    <s v="429"/>
    <s v="787245"/>
    <s v="42277"/>
    <n v="125606"/>
    <n v="13.07"/>
    <n v="0"/>
    <m/>
    <m/>
    <s v="SALES"/>
    <n v="1399450"/>
    <n v="125966.72"/>
    <n v="87690.098839999991"/>
    <n v="38276.62116000001"/>
    <n v="43.649877998016422"/>
    <n v="30.386296602785251"/>
    <n v="0"/>
    <n v="0"/>
    <n v="0"/>
    <n v="0"/>
    <n v="0"/>
    <n v="0"/>
    <n v="3060.5600000000004"/>
    <n v="72958.44"/>
    <n v="62943.880000000012"/>
    <n v="10014.55999999999"/>
    <n v="15.910299778151568"/>
    <n v="13.726389983119144"/>
    <n v="2267.4499999999998"/>
    <n v="81139.87"/>
    <n v="0"/>
    <n v="81139.87"/>
    <n v="0"/>
    <n v="100"/>
  </r>
  <r>
    <n v="183"/>
    <x v="182"/>
    <s v="17850.00"/>
    <s v="46736.63"/>
    <n v="12413.97"/>
    <n v="311749.64260000002"/>
    <s v="8"/>
    <s v="26650"/>
    <s v="0"/>
    <s v="85"/>
    <s v="98755"/>
    <s v="34799"/>
    <s v="3"/>
    <s v="6180"/>
    <s v="17005"/>
    <s v="0"/>
    <s v="8"/>
    <s v="50783"/>
    <s v="492"/>
    <s v="1531220"/>
    <s v="90478"/>
    <n v="44284"/>
    <n v="2.81"/>
    <n v="0"/>
    <m/>
    <m/>
    <s v="SALES"/>
    <n v="848000"/>
    <n v="120872"/>
    <n v="61809.701750000007"/>
    <n v="59062.298249999993"/>
    <n v="95.555061062885642"/>
    <n v="48.863507057052082"/>
    <n v="0"/>
    <n v="0"/>
    <n v="0"/>
    <n v="0"/>
    <n v="0"/>
    <n v="0"/>
    <n v="0"/>
    <n v="0"/>
    <n v="0"/>
    <n v="0"/>
    <n v="0"/>
    <n v="0"/>
    <n v="16"/>
    <n v="13450"/>
    <n v="0"/>
    <n v="13450"/>
    <n v="0"/>
    <n v="100"/>
  </r>
  <r>
    <n v="184"/>
    <x v="183"/>
    <m/>
    <m/>
    <n v="9079.3700000000008"/>
    <n v="145799.96460000001"/>
    <s v="6"/>
    <s v="23300"/>
    <s v="200566"/>
    <s v="73"/>
    <s v="116095"/>
    <s v="372597"/>
    <s v="11"/>
    <s v="15560"/>
    <s v="26778"/>
    <s v="0"/>
    <s v="11"/>
    <s v="22215"/>
    <s v="340"/>
    <s v="1118230"/>
    <s v="79499"/>
    <n v="45214"/>
    <n v="3.85"/>
    <n v="0"/>
    <m/>
    <m/>
    <s v="SALES"/>
    <n v="1688560"/>
    <n v="165780.24"/>
    <n v="86828.232610000006"/>
    <n v="78952.007389999999"/>
    <n v="90.928958262484699"/>
    <n v="47.624498185067203"/>
    <n v="0"/>
    <n v="0"/>
    <n v="0"/>
    <n v="0"/>
    <n v="0"/>
    <n v="0"/>
    <n v="2113.65"/>
    <n v="50727.6"/>
    <n v="44010.165000000001"/>
    <n v="6717.4350000000204"/>
    <n v="15.2633715415519"/>
    <n v="13.242169942989699"/>
    <n v="0"/>
    <n v="0"/>
    <n v="0"/>
    <n v="0"/>
    <n v="0"/>
    <n v="0"/>
  </r>
  <r>
    <n v="185"/>
    <x v="184"/>
    <s v="11640.00"/>
    <s v="52612.80"/>
    <n v="12918"/>
    <n v="186555.80000000005"/>
    <s v="7"/>
    <s v="22500"/>
    <s v="0"/>
    <s v="140"/>
    <s v="166470"/>
    <s v="280208"/>
    <s v="7"/>
    <s v="8660"/>
    <s v="32686"/>
    <s v="60"/>
    <s v="4"/>
    <s v="16109"/>
    <s v="262"/>
    <s v="446980"/>
    <s v="28767"/>
    <n v="86337"/>
    <n v="16.190000000000001"/>
    <n v="0"/>
    <m/>
    <m/>
    <s v="SALES"/>
    <n v="837545"/>
    <n v="114196"/>
    <n v="67299.950029999993"/>
    <n v="46896.049970000007"/>
    <n v="69.682146790741101"/>
    <n v="41.066280754142007"/>
    <n v="0"/>
    <n v="0"/>
    <n v="0"/>
    <n v="0"/>
    <n v="0"/>
    <n v="0"/>
    <n v="16850.47"/>
    <n v="387560.57000000007"/>
    <n v="341255.65500000009"/>
    <n v="46304.914999999979"/>
    <n v="13.568981003406366"/>
    <n v="11.947787928993904"/>
    <n v="22"/>
    <n v="16700"/>
    <n v="0"/>
    <n v="16700"/>
    <n v="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C962C-2D20-7344-B43B-5B33E702060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53">
    <pivotField showAll="0"/>
    <pivotField axis="axisRow" numFmtId="14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2"/>
    <field x="51"/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wardqty" fld="2" baseField="0" baseItem="0"/>
    <dataField name="Sum of inward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654120-FB61-3746-865D-561DC46C9022}" autoFormatId="16" applyNumberFormats="0" applyBorderFormats="0" applyFontFormats="0" applyPatternFormats="0" applyAlignmentFormats="0" applyWidthHeightFormats="0">
  <queryTableRefresh nextId="52">
    <queryTableFields count="51">
      <queryTableField id="1" name="no" tableColumnId="1"/>
      <queryTableField id="2" name="date" tableColumnId="2"/>
      <queryTableField id="3" name="inwardqty" tableColumnId="3"/>
      <queryTableField id="4" name="inwardamount" tableColumnId="4"/>
      <queryTableField id="5" name="outwardqty" tableColumnId="5"/>
      <queryTableField id="6" name="outwardamount" tableColumnId="6"/>
      <queryTableField id="7" name="gummingroll" tableColumnId="7"/>
      <queryTableField id="8" name="gummingqty" tableColumnId="8"/>
      <queryTableField id="9" name="gummingamount" tableColumnId="9"/>
      <queryTableField id="10" name="slittingroll" tableColumnId="10"/>
      <queryTableField id="11" name="slittingqty" tableColumnId="11"/>
      <queryTableField id="12" name="slittingamount" tableColumnId="12"/>
      <queryTableField id="13" name="colorroll" tableColumnId="13"/>
      <queryTableField id="14" name="colorqty" tableColumnId="14"/>
      <queryTableField id="15" name="coloramount" tableColumnId="15"/>
      <queryTableField id="16" name="colorwastage" tableColumnId="16"/>
      <queryTableField id="17" name="diepunchqty" tableColumnId="17"/>
      <queryTableField id="18" name="diepunchamount" tableColumnId="18"/>
      <queryTableField id="19" name="readyrollroll" tableColumnId="19"/>
      <queryTableField id="20" name="readyrollpcs" tableColumnId="20"/>
      <queryTableField id="21" name="readyrollamount" tableColumnId="21"/>
      <queryTableField id="22" name="readyrollwastage" tableColumnId="22"/>
      <queryTableField id="23" name="readyrollwastageperpcs" tableColumnId="23"/>
      <queryTableField id="24" name="readyrollwastageperc" tableColumnId="24"/>
      <queryTableField id="25" name="sheetqty" tableColumnId="25"/>
      <queryTableField id="26" name="sheetamount" tableColumnId="26"/>
      <queryTableField id="27" name="sls_type" tableColumnId="27"/>
      <queryTableField id="28" name="sls_labelqty" tableColumnId="28"/>
      <queryTableField id="29" name="sls_labelamount" tableColumnId="29"/>
      <queryTableField id="30" name="sls_labelmfgcost" tableColumnId="30"/>
      <queryTableField id="31" name="sls_labelprfls" tableColumnId="31"/>
      <queryTableField id="32" name="sls_labelperaspercost" tableColumnId="32"/>
      <queryTableField id="33" name="sls_labelperaspersales" tableColumnId="33"/>
      <queryTableField id="34" name="sls_sheetqty" tableColumnId="34"/>
      <queryTableField id="35" name="sls_sheetamount" tableColumnId="35"/>
      <queryTableField id="36" name="sls_sheetmfgcost" tableColumnId="36"/>
      <queryTableField id="37" name="sls_sheetprfls" tableColumnId="37"/>
      <queryTableField id="38" name="sls_sheetperaspercost" tableColumnId="38"/>
      <queryTableField id="39" name="sls_sheetperaspersales" tableColumnId="39"/>
      <queryTableField id="40" name="sls_rollqty" tableColumnId="40"/>
      <queryTableField id="41" name="sls_rollamount" tableColumnId="41"/>
      <queryTableField id="42" name="sls_rollmfgcost" tableColumnId="42"/>
      <queryTableField id="43" name="sls_rollprfls" tableColumnId="43"/>
      <queryTableField id="44" name="sls_rollperaspercost" tableColumnId="44"/>
      <queryTableField id="45" name="sls_rollperaspersales" tableColumnId="45"/>
      <queryTableField id="46" name="sls_dsalesqty" tableColumnId="46"/>
      <queryTableField id="47" name="sls_dsalesamount" tableColumnId="47"/>
      <queryTableField id="48" name="sls_dsalesmfgcost" tableColumnId="48"/>
      <queryTableField id="49" name="sls_dsalesprfls" tableColumnId="49"/>
      <queryTableField id="50" name="sls_dsalesperaspercost" tableColumnId="50"/>
      <queryTableField id="51" name="sls_dsalesperaspersales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8A742-CD79-864E-A80A-997049A63E76}" name="Query" displayName="Query" ref="A1:AY187" tableType="queryTable" totalsRowCount="1" totalsRowDxfId="51">
  <autoFilter ref="A1:AY186" xr:uid="{4E88A742-CD79-864E-A80A-997049A63E76}">
    <filterColumn colId="1">
      <filters>
        <dateGroupItem year="2026" month="4" dateTimeGrouping="month"/>
        <dateGroupItem year="2026" month="5" dateTimeGrouping="month"/>
        <dateGroupItem year="2026" month="6" dateTimeGrouping="month"/>
        <dateGroupItem year="2026" month="7" dateTimeGrouping="month"/>
      </filters>
    </filterColumn>
  </autoFilter>
  <tableColumns count="51">
    <tableColumn id="1" xr3:uid="{58735EE2-2495-E941-A54F-A38F90D2D444}" uniqueName="1" name="no" totalsRowLabel="Total" queryTableFieldId="1" totalsRowDxfId="29"/>
    <tableColumn id="2" xr3:uid="{77010454-2EE8-4842-A409-6B8EDF796838}" uniqueName="2" name="date" queryTableFieldId="2" dataDxfId="92" totalsRowDxfId="28"/>
    <tableColumn id="3" xr3:uid="{F7577C29-0FC5-6947-BA92-22578AD437C1}" uniqueName="3" name="inwardqty" totalsRowFunction="sum" queryTableFieldId="3" dataDxfId="91" totalsRowDxfId="27"/>
    <tableColumn id="4" xr3:uid="{C08EE25A-3D4B-3E44-9197-4148FE445AFD}" uniqueName="4" name="inwardamount" totalsRowFunction="sum" queryTableFieldId="4" dataDxfId="52" totalsRowDxfId="26"/>
    <tableColumn id="5" xr3:uid="{3888E922-629E-5246-B9E3-6A43D9F8522B}" uniqueName="5" name="outwardqty" totalsRowFunction="sum" queryTableFieldId="5" dataDxfId="90" totalsRowDxfId="25"/>
    <tableColumn id="6" xr3:uid="{6EB467DE-7DD8-554D-A884-5B9B93D674B4}" uniqueName="6" name="outwardamount" totalsRowFunction="sum" queryTableFieldId="6" dataDxfId="89" totalsRowDxfId="24"/>
    <tableColumn id="7" xr3:uid="{7F07F5EF-E889-1B46-B44A-027789454A11}" uniqueName="7" name="gummingroll" totalsRowFunction="sum" queryTableFieldId="7" dataDxfId="88" totalsRowDxfId="23"/>
    <tableColumn id="8" xr3:uid="{6283BD0B-B338-9449-A3A8-A43D4AFD7D86}" uniqueName="8" name="gummingqty" totalsRowFunction="sum" queryTableFieldId="8" dataDxfId="87" totalsRowDxfId="22"/>
    <tableColumn id="9" xr3:uid="{81DC8751-C920-044A-A1BC-5CFD72F301E9}" uniqueName="9" name="gummingamount" totalsRowFunction="sum" queryTableFieldId="9" dataDxfId="86" totalsRowDxfId="21"/>
    <tableColumn id="10" xr3:uid="{AF3FB2C2-9722-D442-898B-83E6B14CE2DF}" uniqueName="10" name="slittingroll" totalsRowFunction="sum" queryTableFieldId="10" dataDxfId="85" totalsRowDxfId="20"/>
    <tableColumn id="11" xr3:uid="{CB75948C-7677-254A-9D59-B07BF79768AE}" uniqueName="11" name="slittingqty" totalsRowFunction="sum" queryTableFieldId="11" dataDxfId="84" totalsRowDxfId="50"/>
    <tableColumn id="12" xr3:uid="{62285B27-70FD-E940-AC65-65F22BAEEE33}" uniqueName="12" name="slittingamount" totalsRowFunction="sum" queryTableFieldId="12" dataDxfId="83" totalsRowDxfId="49"/>
    <tableColumn id="13" xr3:uid="{6CBA7150-457B-2146-A444-9D5E28F8C64E}" uniqueName="13" name="colorroll" totalsRowFunction="sum" queryTableFieldId="13" dataDxfId="82" totalsRowDxfId="48"/>
    <tableColumn id="14" xr3:uid="{9536E2DB-E15A-B240-B4C8-924CEF3EC68A}" uniqueName="14" name="colorqty" totalsRowFunction="sum" queryTableFieldId="14" dataDxfId="81" totalsRowDxfId="47"/>
    <tableColumn id="15" xr3:uid="{C1591E90-1943-214A-A126-04556A94FEA7}" uniqueName="15" name="coloramount" totalsRowFunction="sum" queryTableFieldId="15" dataDxfId="80" totalsRowDxfId="46"/>
    <tableColumn id="16" xr3:uid="{1974AAD2-D9E4-3241-84F1-0DF64D430942}" uniqueName="16" name="colorwastage" totalsRowFunction="sum" queryTableFieldId="16" dataDxfId="79" totalsRowDxfId="45"/>
    <tableColumn id="17" xr3:uid="{B47B4F59-B5D6-0747-ACC9-E14FF020436E}" uniqueName="17" name="diepunchqty" totalsRowFunction="sum" queryTableFieldId="17" dataDxfId="78" totalsRowDxfId="44"/>
    <tableColumn id="18" xr3:uid="{370DEAAA-C2E9-4D40-8E0E-443A7B0B8EF0}" uniqueName="18" name="diepunchamount" totalsRowFunction="sum" queryTableFieldId="18" dataDxfId="77" totalsRowDxfId="43"/>
    <tableColumn id="19" xr3:uid="{777F2EE0-26F0-B947-8B15-87BBAA6DD9FA}" uniqueName="19" name="readyrollroll" totalsRowFunction="sum" queryTableFieldId="19" dataDxfId="76" totalsRowDxfId="42"/>
    <tableColumn id="20" xr3:uid="{F5676DD6-3CA9-6544-87C5-941225CEF1B3}" uniqueName="20" name="readyrollpcs" totalsRowFunction="sum" queryTableFieldId="20" dataDxfId="75" totalsRowDxfId="41"/>
    <tableColumn id="21" xr3:uid="{685A9C33-FA7E-6C4E-B773-C6F4579A6F33}" uniqueName="21" name="readyrollamount" totalsRowFunction="sum" queryTableFieldId="21" dataDxfId="74" totalsRowDxfId="40"/>
    <tableColumn id="22" xr3:uid="{28EA4A50-08FE-5342-9341-A04F437281B5}" uniqueName="22" name="readyrollwastage" totalsRowFunction="sum" queryTableFieldId="22" dataDxfId="73" totalsRowDxfId="39"/>
    <tableColumn id="23" xr3:uid="{A156DA7D-0AA0-8E43-B9C8-4E73380AFB13}" uniqueName="23" name="readyrollwastageperpcs" totalsRowFunction="sum" queryTableFieldId="23" dataDxfId="72" totalsRowDxfId="38"/>
    <tableColumn id="24" xr3:uid="{D5294ECB-018D-E541-A1D9-B1F199EAADF1}" uniqueName="24" name="readyrollwastageperc" totalsRowFunction="sum" queryTableFieldId="24" dataDxfId="71" totalsRowDxfId="37"/>
    <tableColumn id="25" xr3:uid="{49D47D3A-7A2E-3B45-B010-97BD8068ED12}" uniqueName="25" name="sheetqty" queryTableFieldId="25" totalsRowDxfId="19"/>
    <tableColumn id="26" xr3:uid="{3EAF7F79-29D7-474D-BF35-8BC7E7C630A1}" uniqueName="26" name="sheetamount" queryTableFieldId="26" totalsRowDxfId="18"/>
    <tableColumn id="27" xr3:uid="{97916BC3-1286-C149-8CC8-AC99CEC7BDDA}" uniqueName="27" name="sls_type" queryTableFieldId="27" totalsRowDxfId="17"/>
    <tableColumn id="28" xr3:uid="{48695064-B37C-4F47-B4CF-65F2AE707E91}" uniqueName="28" name="sls_labelqty" totalsRowFunction="sum" queryTableFieldId="28" dataDxfId="70" totalsRowDxfId="36"/>
    <tableColumn id="29" xr3:uid="{22D33FED-9DE8-BB44-9553-4F011558C23B}" uniqueName="29" name="sls_labelamount" totalsRowFunction="sum" queryTableFieldId="29" dataDxfId="69" totalsRowDxfId="35"/>
    <tableColumn id="30" xr3:uid="{0EC2BB1B-0D79-F244-8806-419F965DECA3}" uniqueName="30" name="sls_labelmfgcost" totalsRowFunction="sum" queryTableFieldId="30" dataDxfId="68" totalsRowDxfId="34"/>
    <tableColumn id="31" xr3:uid="{F2B2088F-97C7-EC44-9138-446967C7CE5F}" uniqueName="31" name="sls_labelprfls" queryTableFieldId="31" dataDxfId="67" totalsRowDxfId="16"/>
    <tableColumn id="32" xr3:uid="{36DD0AE5-9828-9541-98C7-19CCDD4499B2}" uniqueName="32" name="sls_labelperaspercost" totalsRowFunction="sum" queryTableFieldId="32" dataDxfId="66" totalsRowDxfId="33"/>
    <tableColumn id="33" xr3:uid="{E1690364-F427-5740-8BD6-20C851D9A39B}" uniqueName="33" name="sls_labelperaspersales" totalsRowFunction="sum" queryTableFieldId="33" dataDxfId="65" totalsRowDxfId="32"/>
    <tableColumn id="34" xr3:uid="{708D4137-21CB-D34D-BC79-3A33BF06E57B}" uniqueName="34" name="sls_sheetqty" queryTableFieldId="34" totalsRowDxfId="15"/>
    <tableColumn id="35" xr3:uid="{7CFC905D-2DE1-B64A-8109-B2D2A3DDFFC3}" uniqueName="35" name="sls_sheetamount" queryTableFieldId="35" totalsRowDxfId="14"/>
    <tableColumn id="36" xr3:uid="{425C30D4-D214-314E-8148-609A512E8715}" uniqueName="36" name="sls_sheetmfgcost" queryTableFieldId="36" totalsRowDxfId="13"/>
    <tableColumn id="37" xr3:uid="{65FCCF1E-8BA0-F44D-9B7B-D0894E5C3B51}" uniqueName="37" name="sls_sheetprfls" queryTableFieldId="37" totalsRowDxfId="12"/>
    <tableColumn id="38" xr3:uid="{B6CC1007-CD37-0D41-A2AD-706C14815D83}" uniqueName="38" name="sls_sheetperaspercost" queryTableFieldId="38" totalsRowDxfId="11"/>
    <tableColumn id="39" xr3:uid="{16A5ED0F-E9C9-F64D-A1E9-85BC950DD92B}" uniqueName="39" name="sls_sheetperaspersales" queryTableFieldId="39" totalsRowDxfId="10"/>
    <tableColumn id="40" xr3:uid="{CEBD17EB-C165-304B-B1C9-847B3BE9F328}" uniqueName="40" name="sls_rollqty" totalsRowFunction="sum" queryTableFieldId="40" dataDxfId="64" totalsRowDxfId="31"/>
    <tableColumn id="41" xr3:uid="{3AB442F1-1906-F940-8125-F6D7A3915116}" uniqueName="41" name="sls_rollamount" totalsRowFunction="sum" queryTableFieldId="41" dataDxfId="63" totalsRowDxfId="30"/>
    <tableColumn id="42" xr3:uid="{8FAE89EC-D770-BC47-AF94-8F92554A7884}" uniqueName="42" name="sls_rollmfgcost" totalsRowFunction="sum" queryTableFieldId="42" dataDxfId="62" totalsRowDxfId="9"/>
    <tableColumn id="43" xr3:uid="{3C9EE3D1-DC93-5A4B-AD90-F3095DD41D3A}" uniqueName="43" name="sls_rollprfls" totalsRowFunction="sum" queryTableFieldId="43" dataDxfId="61" totalsRowDxfId="8"/>
    <tableColumn id="44" xr3:uid="{BA7E79EA-C423-E44E-B229-7497EDAD4F7A}" uniqueName="44" name="sls_rollperaspercost" totalsRowFunction="sum" queryTableFieldId="44" dataDxfId="60" totalsRowDxfId="7"/>
    <tableColumn id="45" xr3:uid="{8A1CB320-7090-CC4A-8F7C-86709CE23DC6}" uniqueName="45" name="sls_rollperaspersales" totalsRowFunction="sum" queryTableFieldId="45" dataDxfId="59" totalsRowDxfId="6"/>
    <tableColumn id="46" xr3:uid="{072F3B4C-E8FE-FF49-B87A-39157E03E017}" uniqueName="46" name="sls_dsalesqty" totalsRowFunction="sum" queryTableFieldId="46" dataDxfId="58" totalsRowDxfId="5"/>
    <tableColumn id="47" xr3:uid="{943E64C0-C1F6-5540-AD6C-973DFFD96FC0}" uniqueName="47" name="sls_dsalesamount" totalsRowFunction="sum" queryTableFieldId="47" dataDxfId="57" totalsRowDxfId="4"/>
    <tableColumn id="48" xr3:uid="{2DB3361D-B2A6-D04F-89A6-7028B19350C7}" uniqueName="48" name="sls_dsalesmfgcost" queryTableFieldId="48" dataDxfId="56" totalsRowDxfId="3"/>
    <tableColumn id="49" xr3:uid="{D096ADB1-E603-BD4D-AFB8-1F8D91A1CE0B}" uniqueName="49" name="sls_dsalesprfls" totalsRowFunction="sum" queryTableFieldId="49" dataDxfId="55" totalsRowDxfId="2"/>
    <tableColumn id="50" xr3:uid="{027F4017-A9AB-EF4B-BC75-28B40123B99D}" uniqueName="50" name="sls_dsalesperaspercost" queryTableFieldId="50" dataDxfId="54" totalsRowDxfId="1"/>
    <tableColumn id="51" xr3:uid="{51EC58F7-BF2D-D942-80BF-33581AAF6870}" uniqueName="51" name="sls_dsalesperaspersales" totalsRowFunction="sum" queryTableFieldId="51" dataDxfId="53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BD64-2219-5445-A577-52AD2610581D}">
  <dimension ref="A3:C11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5.1640625" bestFit="1" customWidth="1"/>
    <col min="3" max="3" width="19.1640625" bestFit="1" customWidth="1"/>
  </cols>
  <sheetData>
    <row r="3" spans="1:3" x14ac:dyDescent="0.2">
      <c r="A3" s="1" t="s">
        <v>52</v>
      </c>
      <c r="B3" t="s">
        <v>54</v>
      </c>
      <c r="C3" t="s">
        <v>55</v>
      </c>
    </row>
    <row r="4" spans="1:3" x14ac:dyDescent="0.2">
      <c r="A4" s="2" t="s">
        <v>56</v>
      </c>
      <c r="B4" s="3">
        <v>0</v>
      </c>
      <c r="C4" s="3">
        <v>0</v>
      </c>
    </row>
    <row r="5" spans="1:3" x14ac:dyDescent="0.2">
      <c r="A5" s="2" t="s">
        <v>57</v>
      </c>
      <c r="B5" s="3">
        <v>0</v>
      </c>
      <c r="C5" s="3">
        <v>0</v>
      </c>
    </row>
    <row r="6" spans="1:3" x14ac:dyDescent="0.2">
      <c r="A6" s="2" t="s">
        <v>58</v>
      </c>
      <c r="B6" s="3">
        <v>0</v>
      </c>
      <c r="C6" s="3">
        <v>0</v>
      </c>
    </row>
    <row r="7" spans="1:3" x14ac:dyDescent="0.2">
      <c r="A7" s="2" t="s">
        <v>59</v>
      </c>
      <c r="B7" s="3">
        <v>0</v>
      </c>
      <c r="C7" s="3">
        <v>0</v>
      </c>
    </row>
    <row r="8" spans="1:3" x14ac:dyDescent="0.2">
      <c r="A8" s="2" t="s">
        <v>60</v>
      </c>
      <c r="B8" s="3">
        <v>0</v>
      </c>
      <c r="C8" s="3">
        <v>0</v>
      </c>
    </row>
    <row r="9" spans="1:3" x14ac:dyDescent="0.2">
      <c r="A9" s="2" t="s">
        <v>61</v>
      </c>
      <c r="B9" s="3">
        <v>0</v>
      </c>
      <c r="C9" s="3">
        <v>0</v>
      </c>
    </row>
    <row r="10" spans="1:3" x14ac:dyDescent="0.2">
      <c r="A10" s="2" t="s">
        <v>62</v>
      </c>
      <c r="B10" s="3">
        <v>0</v>
      </c>
      <c r="C10" s="3">
        <v>0</v>
      </c>
    </row>
    <row r="11" spans="1:3" x14ac:dyDescent="0.2">
      <c r="A11" s="2" t="s">
        <v>53</v>
      </c>
      <c r="B11" s="3">
        <v>0</v>
      </c>
      <c r="C1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7A64-9A48-9D4F-A1D8-98862F3F36FE}">
  <dimension ref="A1:AY187"/>
  <sheetViews>
    <sheetView tabSelected="1" topLeftCell="AE147" workbookViewId="0">
      <selection activeCell="AU187" sqref="AU187"/>
    </sheetView>
  </sheetViews>
  <sheetFormatPr baseColWidth="10" defaultRowHeight="16" x14ac:dyDescent="0.2"/>
  <cols>
    <col min="1" max="1" width="5.6640625" bestFit="1" customWidth="1"/>
    <col min="2" max="2" width="7.5" bestFit="1" customWidth="1"/>
    <col min="3" max="3" width="11.6640625" bestFit="1" customWidth="1"/>
    <col min="4" max="4" width="15.5" bestFit="1" customWidth="1"/>
    <col min="5" max="5" width="12.83203125" bestFit="1" customWidth="1"/>
    <col min="6" max="6" width="16.6640625" bestFit="1" customWidth="1"/>
    <col min="7" max="7" width="14.1640625" bestFit="1" customWidth="1"/>
    <col min="8" max="8" width="14" bestFit="1" customWidth="1"/>
    <col min="9" max="9" width="17.83203125" bestFit="1" customWidth="1"/>
    <col min="10" max="10" width="12.1640625" bestFit="1" customWidth="1"/>
    <col min="11" max="11" width="12" bestFit="1" customWidth="1"/>
    <col min="12" max="12" width="15.83203125" bestFit="1" customWidth="1"/>
    <col min="13" max="13" width="10.5" bestFit="1" customWidth="1"/>
    <col min="14" max="14" width="10.33203125" bestFit="1" customWidth="1"/>
    <col min="15" max="15" width="14.1640625" bestFit="1" customWidth="1"/>
    <col min="16" max="16" width="14.83203125" bestFit="1" customWidth="1"/>
    <col min="17" max="17" width="13.6640625" bestFit="1" customWidth="1"/>
    <col min="18" max="18" width="17.5" bestFit="1" customWidth="1"/>
    <col min="19" max="19" width="13.5" bestFit="1" customWidth="1"/>
    <col min="20" max="20" width="13.83203125" bestFit="1" customWidth="1"/>
    <col min="21" max="21" width="17.1640625" bestFit="1" customWidth="1"/>
    <col min="22" max="22" width="17.83203125" bestFit="1" customWidth="1"/>
    <col min="23" max="23" width="23.6640625" bestFit="1" customWidth="1"/>
    <col min="24" max="24" width="21.6640625" bestFit="1" customWidth="1"/>
    <col min="26" max="26" width="14.6640625" bestFit="1" customWidth="1"/>
    <col min="27" max="27" width="10.5" bestFit="1" customWidth="1"/>
    <col min="28" max="28" width="13.5" bestFit="1" customWidth="1"/>
    <col min="29" max="29" width="17.33203125" bestFit="1" customWidth="1"/>
    <col min="30" max="30" width="18" bestFit="1" customWidth="1"/>
    <col min="31" max="31" width="14.83203125" bestFit="1" customWidth="1"/>
    <col min="32" max="32" width="22.1640625" bestFit="1" customWidth="1"/>
    <col min="33" max="33" width="23" bestFit="1" customWidth="1"/>
    <col min="34" max="34" width="14.1640625" hidden="1" customWidth="1"/>
    <col min="35" max="35" width="18" hidden="1" customWidth="1"/>
    <col min="36" max="36" width="18.83203125" hidden="1" customWidth="1"/>
    <col min="37" max="37" width="15.5" hidden="1" customWidth="1"/>
    <col min="38" max="38" width="22.83203125" hidden="1" customWidth="1"/>
    <col min="39" max="39" width="23.6640625" hidden="1" customWidth="1"/>
    <col min="40" max="40" width="12.1640625" bestFit="1" customWidth="1"/>
    <col min="41" max="41" width="16" bestFit="1" customWidth="1"/>
    <col min="42" max="42" width="16.6640625" bestFit="1" customWidth="1"/>
    <col min="43" max="43" width="13.5" bestFit="1" customWidth="1"/>
    <col min="44" max="44" width="20.83203125" bestFit="1" customWidth="1"/>
    <col min="45" max="45" width="21.6640625" bestFit="1" customWidth="1"/>
    <col min="46" max="46" width="15" bestFit="1" customWidth="1"/>
    <col min="47" max="47" width="19" bestFit="1" customWidth="1"/>
    <col min="48" max="48" width="19.6640625" bestFit="1" customWidth="1"/>
    <col min="49" max="49" width="16.33203125" bestFit="1" customWidth="1"/>
    <col min="50" max="50" width="23.6640625" bestFit="1" customWidth="1"/>
    <col min="51" max="51" width="24.6640625" bestFit="1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idden="1" x14ac:dyDescent="0.2">
      <c r="A2">
        <v>1</v>
      </c>
      <c r="B2" s="4">
        <v>46023</v>
      </c>
      <c r="C2" s="3">
        <v>4735</v>
      </c>
      <c r="D2" s="3">
        <v>393005</v>
      </c>
      <c r="E2" s="3">
        <v>0</v>
      </c>
      <c r="F2" s="3">
        <v>0</v>
      </c>
      <c r="G2" s="3"/>
      <c r="H2" s="3"/>
      <c r="I2" s="3"/>
      <c r="J2" s="3">
        <v>62</v>
      </c>
      <c r="K2" s="3">
        <v>79215</v>
      </c>
      <c r="L2" s="3">
        <v>201557</v>
      </c>
      <c r="M2" s="3">
        <v>7</v>
      </c>
      <c r="N2" s="3">
        <v>11145</v>
      </c>
      <c r="O2" s="3">
        <v>37967</v>
      </c>
      <c r="P2" s="3">
        <v>58</v>
      </c>
      <c r="Q2" s="3">
        <v>14</v>
      </c>
      <c r="R2" s="3">
        <v>60605</v>
      </c>
      <c r="S2" s="3">
        <v>541</v>
      </c>
      <c r="T2" s="3">
        <v>1759258</v>
      </c>
      <c r="U2" s="3">
        <v>122811</v>
      </c>
      <c r="V2" s="3">
        <v>0</v>
      </c>
      <c r="W2" s="3">
        <v>0</v>
      </c>
      <c r="X2" s="3">
        <v>4.88</v>
      </c>
      <c r="AA2" t="s">
        <v>51</v>
      </c>
      <c r="AB2" s="3">
        <v>1265810</v>
      </c>
      <c r="AC2" s="3">
        <v>145918.38999999998</v>
      </c>
      <c r="AD2" s="3">
        <v>110023.849305</v>
      </c>
      <c r="AE2" s="3">
        <v>35894.540694999989</v>
      </c>
      <c r="AF2" s="3">
        <v>32.62432729061841</v>
      </c>
      <c r="AG2" s="3">
        <v>24.599052042035272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3">
        <v>3174.4800000000005</v>
      </c>
      <c r="AO2" s="3">
        <v>68463.979999999981</v>
      </c>
      <c r="AP2" s="3">
        <v>61405.929999999993</v>
      </c>
      <c r="AQ2" s="3">
        <v>7058.0499999999884</v>
      </c>
      <c r="AR2" s="3">
        <v>11.494085343223349</v>
      </c>
      <c r="AS2" s="3">
        <v>10.309143581778317</v>
      </c>
      <c r="AT2" s="3">
        <v>167072</v>
      </c>
      <c r="AU2" s="3">
        <v>55905.2</v>
      </c>
      <c r="AV2" s="3">
        <v>0</v>
      </c>
      <c r="AW2" s="3">
        <v>55905.2</v>
      </c>
      <c r="AX2" s="3">
        <v>0</v>
      </c>
      <c r="AY2" s="3">
        <v>100</v>
      </c>
    </row>
    <row r="3" spans="1:51" hidden="1" x14ac:dyDescent="0.2">
      <c r="A3">
        <v>2</v>
      </c>
      <c r="B3" s="4">
        <v>46024</v>
      </c>
      <c r="C3" s="3"/>
      <c r="D3" s="3"/>
      <c r="E3" s="3">
        <v>941</v>
      </c>
      <c r="F3" s="3">
        <v>134870.39999999999</v>
      </c>
      <c r="G3" s="3">
        <v>8</v>
      </c>
      <c r="H3" s="3">
        <v>31750</v>
      </c>
      <c r="I3" s="3">
        <v>305117</v>
      </c>
      <c r="J3" s="3">
        <v>28</v>
      </c>
      <c r="K3" s="3">
        <v>37528</v>
      </c>
      <c r="L3" s="3">
        <v>147648</v>
      </c>
      <c r="M3" s="3">
        <v>11</v>
      </c>
      <c r="N3" s="3">
        <v>12410</v>
      </c>
      <c r="O3" s="3">
        <v>25993</v>
      </c>
      <c r="P3" s="3">
        <v>160</v>
      </c>
      <c r="Q3" s="3">
        <v>18</v>
      </c>
      <c r="R3" s="3">
        <v>60257</v>
      </c>
      <c r="S3" s="3">
        <v>420</v>
      </c>
      <c r="T3" s="3">
        <v>534610</v>
      </c>
      <c r="U3" s="3">
        <v>59531</v>
      </c>
      <c r="V3" s="3">
        <v>0</v>
      </c>
      <c r="W3" s="3">
        <v>0</v>
      </c>
      <c r="X3" s="3">
        <v>10.19</v>
      </c>
      <c r="AA3" t="s">
        <v>51</v>
      </c>
      <c r="AB3" s="3">
        <v>955330</v>
      </c>
      <c r="AC3" s="3">
        <v>132739.39999999997</v>
      </c>
      <c r="AD3" s="3">
        <v>80359.909359999991</v>
      </c>
      <c r="AE3" s="3">
        <v>52379.490639999975</v>
      </c>
      <c r="AF3" s="3">
        <v>65.181122100757904</v>
      </c>
      <c r="AG3" s="3">
        <v>39.460394306438019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s="3">
        <v>6167.15</v>
      </c>
      <c r="AO3" s="3">
        <v>137221.76000000001</v>
      </c>
      <c r="AP3" s="3">
        <v>116059.27000000002</v>
      </c>
      <c r="AQ3" s="3">
        <v>21162.489999999991</v>
      </c>
      <c r="AR3" s="3">
        <v>18.234209124355157</v>
      </c>
      <c r="AS3" s="3">
        <v>15.422109438036641</v>
      </c>
      <c r="AT3" s="3">
        <v>550</v>
      </c>
      <c r="AU3" s="3">
        <v>15950</v>
      </c>
      <c r="AV3" s="3">
        <v>0</v>
      </c>
      <c r="AW3" s="3">
        <v>15950</v>
      </c>
      <c r="AX3" s="3">
        <v>0</v>
      </c>
      <c r="AY3" s="3">
        <v>100</v>
      </c>
    </row>
    <row r="4" spans="1:51" hidden="1" x14ac:dyDescent="0.2">
      <c r="A4">
        <v>3</v>
      </c>
      <c r="B4" s="4">
        <v>46025</v>
      </c>
      <c r="C4" s="3"/>
      <c r="D4" s="3"/>
      <c r="E4" s="3">
        <v>2105</v>
      </c>
      <c r="F4" s="3">
        <v>238464.44</v>
      </c>
      <c r="G4" s="3">
        <v>8</v>
      </c>
      <c r="H4" s="3">
        <v>31650</v>
      </c>
      <c r="I4" s="3">
        <v>286362</v>
      </c>
      <c r="J4" s="3">
        <v>80</v>
      </c>
      <c r="K4" s="3">
        <v>110330</v>
      </c>
      <c r="L4" s="3">
        <v>301126</v>
      </c>
      <c r="M4" s="3">
        <v>7</v>
      </c>
      <c r="N4" s="3">
        <v>10450</v>
      </c>
      <c r="O4" s="3">
        <v>34027</v>
      </c>
      <c r="P4" s="3">
        <v>40</v>
      </c>
      <c r="Q4" s="3">
        <v>21</v>
      </c>
      <c r="R4" s="3">
        <v>60677</v>
      </c>
      <c r="S4" s="3">
        <v>738</v>
      </c>
      <c r="T4" s="3">
        <v>877540</v>
      </c>
      <c r="U4" s="3">
        <v>93083</v>
      </c>
      <c r="V4" s="3">
        <v>2000</v>
      </c>
      <c r="W4" s="3">
        <v>0.19</v>
      </c>
      <c r="X4" s="3">
        <v>4.54</v>
      </c>
      <c r="AA4" t="s">
        <v>51</v>
      </c>
      <c r="AB4" s="3">
        <v>897875</v>
      </c>
      <c r="AC4" s="3">
        <v>107263.79</v>
      </c>
      <c r="AD4" s="3">
        <v>64228.38235</v>
      </c>
      <c r="AE4" s="3">
        <v>43035.407649999994</v>
      </c>
      <c r="AF4" s="3">
        <v>67.003723393634544</v>
      </c>
      <c r="AG4" s="3">
        <v>40.121095525339904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s="3">
        <v>585.20000000000005</v>
      </c>
      <c r="AO4" s="3">
        <v>12874.4</v>
      </c>
      <c r="AP4" s="3">
        <v>10834.16</v>
      </c>
      <c r="AQ4" s="3">
        <v>2040.2399999999998</v>
      </c>
      <c r="AR4" s="3">
        <v>18.831547623442887</v>
      </c>
      <c r="AS4" s="3">
        <v>15.847262785061828</v>
      </c>
      <c r="AT4" s="3">
        <v>252</v>
      </c>
      <c r="AU4" s="3">
        <v>26884</v>
      </c>
      <c r="AV4" s="3">
        <v>0</v>
      </c>
      <c r="AW4" s="3">
        <v>26884</v>
      </c>
      <c r="AX4" s="3">
        <v>0</v>
      </c>
      <c r="AY4" s="3">
        <v>100</v>
      </c>
    </row>
    <row r="5" spans="1:51" hidden="1" x14ac:dyDescent="0.2">
      <c r="A5">
        <v>4</v>
      </c>
      <c r="B5" s="4">
        <v>46026</v>
      </c>
      <c r="C5" s="3"/>
      <c r="D5" s="3"/>
      <c r="E5" s="3">
        <v>2235.4</v>
      </c>
      <c r="F5" s="3">
        <v>265192.97600000002</v>
      </c>
      <c r="G5" s="3">
        <v>4</v>
      </c>
      <c r="H5" s="3">
        <v>15330</v>
      </c>
      <c r="I5" s="3">
        <v>146388</v>
      </c>
      <c r="J5" s="3"/>
      <c r="K5" s="3"/>
      <c r="L5" s="3"/>
      <c r="M5" s="3">
        <v>1</v>
      </c>
      <c r="N5" s="3">
        <v>1380</v>
      </c>
      <c r="O5" s="3">
        <v>3104</v>
      </c>
      <c r="P5" s="3">
        <v>20</v>
      </c>
      <c r="Q5" s="3">
        <v>1</v>
      </c>
      <c r="R5" s="3">
        <v>2448</v>
      </c>
      <c r="S5" s="3"/>
      <c r="T5" s="3"/>
      <c r="U5" s="3"/>
      <c r="V5" s="3">
        <v>0</v>
      </c>
      <c r="W5" s="3">
        <v>0</v>
      </c>
      <c r="X5" s="3">
        <v>0</v>
      </c>
      <c r="AA5" t="s">
        <v>51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</row>
    <row r="6" spans="1:51" hidden="1" x14ac:dyDescent="0.2">
      <c r="A6">
        <v>5</v>
      </c>
      <c r="B6" s="4">
        <v>46027</v>
      </c>
      <c r="C6" s="3"/>
      <c r="D6" s="3"/>
      <c r="E6" s="3">
        <v>3789</v>
      </c>
      <c r="F6" s="3">
        <v>420384.6</v>
      </c>
      <c r="G6" s="3">
        <v>10</v>
      </c>
      <c r="H6" s="3">
        <v>38220</v>
      </c>
      <c r="I6" s="3">
        <v>352317</v>
      </c>
      <c r="J6" s="3">
        <v>82</v>
      </c>
      <c r="K6" s="3">
        <v>122495</v>
      </c>
      <c r="L6" s="3">
        <v>293656</v>
      </c>
      <c r="M6" s="3">
        <v>7</v>
      </c>
      <c r="N6" s="3">
        <v>7795</v>
      </c>
      <c r="O6" s="3">
        <v>35713</v>
      </c>
      <c r="P6" s="3">
        <v>65</v>
      </c>
      <c r="Q6" s="3">
        <v>23</v>
      </c>
      <c r="R6" s="3">
        <v>50677</v>
      </c>
      <c r="S6" s="3">
        <v>430</v>
      </c>
      <c r="T6" s="3">
        <v>978000</v>
      </c>
      <c r="U6" s="3">
        <v>33716</v>
      </c>
      <c r="V6" s="3">
        <v>0</v>
      </c>
      <c r="W6" s="3">
        <v>0</v>
      </c>
      <c r="X6" s="3">
        <v>2.0699999999999998</v>
      </c>
      <c r="AA6" t="s">
        <v>51</v>
      </c>
      <c r="AB6" s="3">
        <v>200000</v>
      </c>
      <c r="AC6" s="3">
        <v>41800</v>
      </c>
      <c r="AD6" s="3">
        <v>30097.892</v>
      </c>
      <c r="AE6" s="3">
        <v>11702.108</v>
      </c>
      <c r="AF6" s="3">
        <v>38.88015811871476</v>
      </c>
      <c r="AG6" s="3">
        <v>27.995473684210527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s="3">
        <v>25125.379999999994</v>
      </c>
      <c r="AO6" s="3">
        <v>570585.36999999988</v>
      </c>
      <c r="AP6" s="3">
        <v>481985.68099999987</v>
      </c>
      <c r="AQ6" s="3">
        <v>88599.689000000013</v>
      </c>
      <c r="AR6" s="3">
        <v>18.382224305124126</v>
      </c>
      <c r="AS6" s="3">
        <v>15.527858521854501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</row>
    <row r="7" spans="1:51" hidden="1" x14ac:dyDescent="0.2">
      <c r="A7">
        <v>6</v>
      </c>
      <c r="B7" s="4">
        <v>46028</v>
      </c>
      <c r="C7" s="3">
        <v>404</v>
      </c>
      <c r="D7" s="3">
        <v>53883</v>
      </c>
      <c r="E7" s="3">
        <v>954.7</v>
      </c>
      <c r="F7" s="3">
        <v>137144.37599999999</v>
      </c>
      <c r="G7" s="3">
        <v>8</v>
      </c>
      <c r="H7" s="3">
        <v>10210</v>
      </c>
      <c r="I7" s="3">
        <v>69836</v>
      </c>
      <c r="J7" s="3">
        <v>45</v>
      </c>
      <c r="K7" s="3">
        <v>63180</v>
      </c>
      <c r="L7" s="3">
        <v>191151</v>
      </c>
      <c r="M7" s="3">
        <v>13</v>
      </c>
      <c r="N7" s="3">
        <v>16781</v>
      </c>
      <c r="O7" s="3">
        <v>63599</v>
      </c>
      <c r="P7" s="3">
        <v>969</v>
      </c>
      <c r="Q7" s="3">
        <v>15</v>
      </c>
      <c r="R7" s="3">
        <v>48585</v>
      </c>
      <c r="S7" s="3">
        <v>386</v>
      </c>
      <c r="T7" s="3">
        <v>1203505</v>
      </c>
      <c r="U7" s="3">
        <v>85626</v>
      </c>
      <c r="V7" s="3">
        <v>0</v>
      </c>
      <c r="W7" s="3">
        <v>0</v>
      </c>
      <c r="X7" s="3">
        <v>7.41</v>
      </c>
      <c r="AA7" t="s">
        <v>51</v>
      </c>
      <c r="AB7" s="3">
        <v>1120350</v>
      </c>
      <c r="AC7" s="3">
        <v>52148.2</v>
      </c>
      <c r="AD7" s="3">
        <v>41289.495179999998</v>
      </c>
      <c r="AE7" s="3">
        <v>10858.704819999999</v>
      </c>
      <c r="AF7" s="3">
        <v>26.298952730378232</v>
      </c>
      <c r="AG7" s="3">
        <v>20.82277973161106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 s="3">
        <v>9453.65</v>
      </c>
      <c r="AO7" s="3">
        <v>224322.95</v>
      </c>
      <c r="AP7" s="3">
        <v>187671.56</v>
      </c>
      <c r="AQ7" s="3">
        <v>36651.390000000014</v>
      </c>
      <c r="AR7" s="3">
        <v>19.529538732453663</v>
      </c>
      <c r="AS7" s="3">
        <v>16.338671544752785</v>
      </c>
      <c r="AT7" s="3">
        <v>3000</v>
      </c>
      <c r="AU7" s="3">
        <v>7500</v>
      </c>
      <c r="AV7" s="3">
        <v>0</v>
      </c>
      <c r="AW7" s="3">
        <v>7500</v>
      </c>
      <c r="AX7" s="3">
        <v>0</v>
      </c>
      <c r="AY7" s="3">
        <v>100</v>
      </c>
    </row>
    <row r="8" spans="1:51" hidden="1" x14ac:dyDescent="0.2">
      <c r="A8">
        <v>7</v>
      </c>
      <c r="B8" s="4">
        <v>46029</v>
      </c>
      <c r="C8" s="3"/>
      <c r="D8" s="3"/>
      <c r="E8" s="3">
        <v>47403.48</v>
      </c>
      <c r="F8" s="3">
        <v>90002.58</v>
      </c>
      <c r="G8" s="3">
        <v>7</v>
      </c>
      <c r="H8" s="3">
        <v>13080</v>
      </c>
      <c r="I8" s="3">
        <v>118015</v>
      </c>
      <c r="J8" s="3">
        <v>25</v>
      </c>
      <c r="K8" s="3">
        <v>33385</v>
      </c>
      <c r="L8" s="3">
        <v>129985</v>
      </c>
      <c r="M8" s="3">
        <v>12</v>
      </c>
      <c r="N8" s="3">
        <v>14740</v>
      </c>
      <c r="O8" s="3">
        <v>51389</v>
      </c>
      <c r="P8" s="3">
        <v>145</v>
      </c>
      <c r="Q8" s="3">
        <v>12</v>
      </c>
      <c r="R8" s="3">
        <v>58045</v>
      </c>
      <c r="S8" s="3">
        <v>416</v>
      </c>
      <c r="T8" s="3">
        <v>1921217</v>
      </c>
      <c r="U8" s="3">
        <v>92429</v>
      </c>
      <c r="V8" s="3">
        <v>0</v>
      </c>
      <c r="W8" s="3">
        <v>0</v>
      </c>
      <c r="X8" s="3">
        <v>5.34</v>
      </c>
      <c r="AA8" t="s">
        <v>51</v>
      </c>
      <c r="AB8" s="3">
        <v>1148190</v>
      </c>
      <c r="AC8" s="3">
        <v>201843.77</v>
      </c>
      <c r="AD8" s="3">
        <v>135867.99242</v>
      </c>
      <c r="AE8" s="3">
        <v>65975.777579999994</v>
      </c>
      <c r="AF8" s="3">
        <v>48.558734404533858</v>
      </c>
      <c r="AG8" s="3">
        <v>32.686556330175556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s="3">
        <v>3385.4800000000005</v>
      </c>
      <c r="AO8" s="3">
        <v>94793.44</v>
      </c>
      <c r="AP8" s="3">
        <v>81605.350000000006</v>
      </c>
      <c r="AQ8" s="3">
        <v>13188.089999999997</v>
      </c>
      <c r="AR8" s="3">
        <v>16.160815436733003</v>
      </c>
      <c r="AS8" s="3">
        <v>13.91245005983536</v>
      </c>
      <c r="AT8" s="3">
        <v>47058</v>
      </c>
      <c r="AU8" s="3">
        <v>10881.6</v>
      </c>
      <c r="AV8" s="3">
        <v>940.80000000000007</v>
      </c>
      <c r="AW8" s="3">
        <v>9940.8000000000011</v>
      </c>
      <c r="AX8" s="3">
        <v>1056.6326530612246</v>
      </c>
      <c r="AY8" s="3">
        <v>91.354212615791809</v>
      </c>
    </row>
    <row r="9" spans="1:51" hidden="1" x14ac:dyDescent="0.2">
      <c r="A9">
        <v>8</v>
      </c>
      <c r="B9" s="4">
        <v>46030</v>
      </c>
      <c r="C9" s="3">
        <v>9526</v>
      </c>
      <c r="D9" s="3">
        <v>1371744</v>
      </c>
      <c r="E9" s="3">
        <v>1377.87</v>
      </c>
      <c r="F9" s="3">
        <v>298116.76999999996</v>
      </c>
      <c r="G9" s="3">
        <v>6</v>
      </c>
      <c r="H9" s="3">
        <v>22580</v>
      </c>
      <c r="I9" s="3">
        <v>271733</v>
      </c>
      <c r="J9" s="3">
        <v>57</v>
      </c>
      <c r="K9" s="3">
        <v>72450</v>
      </c>
      <c r="L9" s="3">
        <v>183187</v>
      </c>
      <c r="M9" s="3">
        <v>16</v>
      </c>
      <c r="N9" s="3">
        <v>21430</v>
      </c>
      <c r="O9" s="3">
        <v>79264</v>
      </c>
      <c r="P9" s="3">
        <v>125</v>
      </c>
      <c r="Q9" s="3">
        <v>8</v>
      </c>
      <c r="R9" s="3">
        <v>23449</v>
      </c>
      <c r="S9" s="3">
        <v>389</v>
      </c>
      <c r="T9" s="3">
        <v>1087591</v>
      </c>
      <c r="U9" s="3">
        <v>88076</v>
      </c>
      <c r="V9" s="3">
        <v>0</v>
      </c>
      <c r="W9" s="3">
        <v>0</v>
      </c>
      <c r="X9" s="3">
        <v>5.43</v>
      </c>
      <c r="AA9" t="s">
        <v>51</v>
      </c>
      <c r="AB9" s="3">
        <v>479001</v>
      </c>
      <c r="AC9" s="3">
        <v>76185.930000000008</v>
      </c>
      <c r="AD9" s="3">
        <v>63476.230987999996</v>
      </c>
      <c r="AE9" s="3">
        <v>12709.699012000012</v>
      </c>
      <c r="AF9" s="3">
        <v>20.02276886036719</v>
      </c>
      <c r="AG9" s="3">
        <v>16.682475375702587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s="3">
        <v>537.09</v>
      </c>
      <c r="AO9" s="3">
        <v>14501.04</v>
      </c>
      <c r="AP9" s="3">
        <v>12652.185000000001</v>
      </c>
      <c r="AQ9" s="3">
        <v>1848.8549999999996</v>
      </c>
      <c r="AR9" s="3">
        <v>14.612930493823789</v>
      </c>
      <c r="AS9" s="3">
        <v>12.749809668823749</v>
      </c>
      <c r="AT9" s="3">
        <v>1070.48</v>
      </c>
      <c r="AU9" s="3">
        <v>29875.96</v>
      </c>
      <c r="AV9" s="3">
        <v>0</v>
      </c>
      <c r="AW9" s="3">
        <v>29875.96</v>
      </c>
      <c r="AX9" s="3">
        <v>0</v>
      </c>
      <c r="AY9" s="3">
        <v>100</v>
      </c>
    </row>
    <row r="10" spans="1:51" hidden="1" x14ac:dyDescent="0.2">
      <c r="A10">
        <v>9</v>
      </c>
      <c r="B10" s="4">
        <v>46031</v>
      </c>
      <c r="C10" s="3"/>
      <c r="D10" s="3"/>
      <c r="E10" s="3">
        <v>15</v>
      </c>
      <c r="F10" s="3">
        <v>7316.25</v>
      </c>
      <c r="G10" s="3"/>
      <c r="H10" s="3"/>
      <c r="I10" s="3"/>
      <c r="J10" s="3">
        <v>33</v>
      </c>
      <c r="K10" s="3">
        <v>38940</v>
      </c>
      <c r="L10" s="3">
        <v>104756</v>
      </c>
      <c r="M10" s="3">
        <v>12</v>
      </c>
      <c r="N10" s="3">
        <v>16680</v>
      </c>
      <c r="O10" s="3">
        <v>56168</v>
      </c>
      <c r="P10" s="3">
        <v>180</v>
      </c>
      <c r="Q10" s="3">
        <v>8</v>
      </c>
      <c r="R10" s="3">
        <v>26436</v>
      </c>
      <c r="S10" s="3">
        <v>200</v>
      </c>
      <c r="T10" s="3">
        <v>892384</v>
      </c>
      <c r="U10" s="3">
        <v>60956</v>
      </c>
      <c r="V10" s="3">
        <v>10712</v>
      </c>
      <c r="W10" s="3">
        <v>1.1200000000000001</v>
      </c>
      <c r="X10" s="3">
        <v>5.97</v>
      </c>
      <c r="AA10" t="s">
        <v>51</v>
      </c>
      <c r="AB10" s="3">
        <v>4289083</v>
      </c>
      <c r="AC10" s="3">
        <v>185712.75999999998</v>
      </c>
      <c r="AD10" s="3">
        <v>126193.39832200001</v>
      </c>
      <c r="AE10" s="3">
        <v>59519.361677999972</v>
      </c>
      <c r="AF10" s="3">
        <v>47.16519443127131</v>
      </c>
      <c r="AG10" s="3">
        <v>32.049150353481352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s="3">
        <v>9724.16</v>
      </c>
      <c r="AO10" s="3">
        <v>223907.65999999989</v>
      </c>
      <c r="AP10" s="3">
        <v>195683.98000000004</v>
      </c>
      <c r="AQ10" s="3">
        <v>28223.679999999847</v>
      </c>
      <c r="AR10" s="3">
        <v>14.423091762544814</v>
      </c>
      <c r="AS10" s="3">
        <v>12.605053351010797</v>
      </c>
      <c r="AT10" s="3">
        <v>756.5</v>
      </c>
      <c r="AU10" s="3">
        <v>20541.5</v>
      </c>
      <c r="AV10" s="3">
        <v>0</v>
      </c>
      <c r="AW10" s="3">
        <v>20541.5</v>
      </c>
      <c r="AX10" s="3">
        <v>0</v>
      </c>
      <c r="AY10" s="3">
        <v>100</v>
      </c>
    </row>
    <row r="11" spans="1:51" hidden="1" x14ac:dyDescent="0.2">
      <c r="A11">
        <v>10</v>
      </c>
      <c r="B11" s="4">
        <v>46032</v>
      </c>
      <c r="C11" s="3">
        <v>7104</v>
      </c>
      <c r="D11" s="3">
        <v>589632</v>
      </c>
      <c r="E11" s="3">
        <v>76</v>
      </c>
      <c r="F11" s="3">
        <v>13455.000000000002</v>
      </c>
      <c r="G11" s="3"/>
      <c r="H11" s="3"/>
      <c r="I11" s="3"/>
      <c r="J11" s="3">
        <v>90</v>
      </c>
      <c r="K11" s="3">
        <v>123850</v>
      </c>
      <c r="L11" s="3">
        <v>325265</v>
      </c>
      <c r="M11" s="3">
        <v>19</v>
      </c>
      <c r="N11" s="3">
        <v>28875</v>
      </c>
      <c r="O11" s="3">
        <v>72259</v>
      </c>
      <c r="P11" s="3">
        <v>310</v>
      </c>
      <c r="Q11" s="3">
        <v>3</v>
      </c>
      <c r="R11" s="3">
        <v>10602</v>
      </c>
      <c r="S11" s="3">
        <v>179</v>
      </c>
      <c r="T11" s="3">
        <v>500230</v>
      </c>
      <c r="U11" s="3">
        <v>44045</v>
      </c>
      <c r="V11" s="3">
        <v>0</v>
      </c>
      <c r="W11" s="3">
        <v>0</v>
      </c>
      <c r="X11" s="3">
        <v>8.9499999999999993</v>
      </c>
      <c r="AA11" t="s">
        <v>51</v>
      </c>
      <c r="AB11" s="3">
        <v>871520</v>
      </c>
      <c r="AC11" s="3">
        <v>144456.03</v>
      </c>
      <c r="AD11" s="3">
        <v>97956.125379999998</v>
      </c>
      <c r="AE11" s="3">
        <v>46499.904620000001</v>
      </c>
      <c r="AF11" s="3">
        <v>47.470134654278631</v>
      </c>
      <c r="AG11" s="3">
        <v>32.189659801671141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s="3">
        <v>6383.5100000000011</v>
      </c>
      <c r="AO11" s="3">
        <v>135827.91999999998</v>
      </c>
      <c r="AP11" s="3">
        <v>120535.97800000002</v>
      </c>
      <c r="AQ11" s="3">
        <v>15291.941999999966</v>
      </c>
      <c r="AR11" s="3">
        <v>12.686620421331765</v>
      </c>
      <c r="AS11" s="3">
        <v>11.258320086179607</v>
      </c>
      <c r="AT11" s="3">
        <v>505.6</v>
      </c>
      <c r="AU11" s="3">
        <v>18962.199999999997</v>
      </c>
      <c r="AV11" s="3">
        <v>0</v>
      </c>
      <c r="AW11" s="3">
        <v>18962.199999999997</v>
      </c>
      <c r="AX11" s="3">
        <v>0</v>
      </c>
      <c r="AY11" s="3">
        <v>100</v>
      </c>
    </row>
    <row r="12" spans="1:51" hidden="1" x14ac:dyDescent="0.2">
      <c r="A12">
        <v>11</v>
      </c>
      <c r="B12" s="4">
        <v>46033</v>
      </c>
      <c r="C12" s="3"/>
      <c r="D12" s="3"/>
      <c r="E12" s="3">
        <v>821</v>
      </c>
      <c r="F12" s="3">
        <v>130827.91999999998</v>
      </c>
      <c r="G12" s="3">
        <v>4</v>
      </c>
      <c r="H12" s="3">
        <v>16100</v>
      </c>
      <c r="I12" s="3">
        <v>148280</v>
      </c>
      <c r="J12" s="3"/>
      <c r="K12" s="3"/>
      <c r="L12" s="3"/>
      <c r="M12" s="3">
        <v>7</v>
      </c>
      <c r="N12" s="3">
        <v>7960</v>
      </c>
      <c r="O12" s="3">
        <v>28576</v>
      </c>
      <c r="P12" s="3">
        <v>0</v>
      </c>
      <c r="Q12" s="3"/>
      <c r="R12" s="3"/>
      <c r="S12" s="3">
        <v>39</v>
      </c>
      <c r="T12" s="3">
        <v>447200</v>
      </c>
      <c r="U12" s="3">
        <v>23533</v>
      </c>
      <c r="V12" s="3">
        <v>0</v>
      </c>
      <c r="W12" s="3">
        <v>0</v>
      </c>
      <c r="X12" s="3">
        <v>3.49</v>
      </c>
      <c r="AA12" t="s">
        <v>51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</row>
    <row r="13" spans="1:51" hidden="1" x14ac:dyDescent="0.2">
      <c r="A13">
        <v>12</v>
      </c>
      <c r="B13" s="4">
        <v>46034</v>
      </c>
      <c r="C13" s="3">
        <v>171000</v>
      </c>
      <c r="D13" s="3">
        <v>57579.75</v>
      </c>
      <c r="E13" s="3">
        <v>173461</v>
      </c>
      <c r="F13" s="3">
        <v>326562.28000000003</v>
      </c>
      <c r="G13" s="3">
        <v>9</v>
      </c>
      <c r="H13" s="3">
        <v>36770</v>
      </c>
      <c r="I13" s="3">
        <v>351081</v>
      </c>
      <c r="J13" s="3">
        <v>52</v>
      </c>
      <c r="K13" s="3">
        <v>70330</v>
      </c>
      <c r="L13" s="3">
        <v>186265</v>
      </c>
      <c r="M13" s="3">
        <v>19</v>
      </c>
      <c r="N13" s="3">
        <v>21870</v>
      </c>
      <c r="O13" s="3">
        <v>66663</v>
      </c>
      <c r="P13" s="3">
        <v>310</v>
      </c>
      <c r="Q13" s="3">
        <v>10</v>
      </c>
      <c r="R13" s="3">
        <v>38255</v>
      </c>
      <c r="S13" s="3">
        <v>386</v>
      </c>
      <c r="T13" s="3">
        <v>1362275</v>
      </c>
      <c r="U13" s="3">
        <v>88667</v>
      </c>
      <c r="V13" s="3">
        <v>0</v>
      </c>
      <c r="W13" s="3">
        <v>0</v>
      </c>
      <c r="X13" s="3">
        <v>4.3099999999999996</v>
      </c>
      <c r="AA13" t="s">
        <v>51</v>
      </c>
      <c r="AB13" s="3">
        <v>902850</v>
      </c>
      <c r="AC13" s="3">
        <v>102496.79</v>
      </c>
      <c r="AD13" s="3">
        <v>49268.921020000002</v>
      </c>
      <c r="AE13" s="3">
        <v>53227.868979999992</v>
      </c>
      <c r="AF13" s="3">
        <v>108.03538595536304</v>
      </c>
      <c r="AG13" s="3">
        <v>51.931254608071129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s="3">
        <v>1678.0500000000002</v>
      </c>
      <c r="AO13" s="3">
        <v>38595.15</v>
      </c>
      <c r="AP13" s="3">
        <v>31743.040000000001</v>
      </c>
      <c r="AQ13" s="3">
        <v>6852.1100000000006</v>
      </c>
      <c r="AR13" s="3">
        <v>21.586180781676866</v>
      </c>
      <c r="AS13" s="3">
        <v>17.753811035842588</v>
      </c>
      <c r="AT13" s="3">
        <v>171600.24</v>
      </c>
      <c r="AU13" s="3">
        <v>40709.279999999999</v>
      </c>
      <c r="AV13" s="3">
        <v>57600</v>
      </c>
      <c r="AW13" s="3">
        <v>-16890.72</v>
      </c>
      <c r="AX13" s="3">
        <v>0</v>
      </c>
      <c r="AY13" s="3">
        <v>0</v>
      </c>
    </row>
    <row r="14" spans="1:51" hidden="1" x14ac:dyDescent="0.2">
      <c r="A14">
        <v>13</v>
      </c>
      <c r="B14" s="4">
        <v>46035</v>
      </c>
      <c r="C14" s="3">
        <v>500</v>
      </c>
      <c r="D14" s="3">
        <v>11690</v>
      </c>
      <c r="E14" s="3">
        <v>711.24</v>
      </c>
      <c r="F14" s="3">
        <v>141155.03</v>
      </c>
      <c r="G14" s="3">
        <v>6</v>
      </c>
      <c r="H14" s="3">
        <v>21640</v>
      </c>
      <c r="I14" s="3">
        <v>250917</v>
      </c>
      <c r="J14" s="3">
        <v>12</v>
      </c>
      <c r="K14" s="3">
        <v>22480</v>
      </c>
      <c r="L14" s="3">
        <v>66025</v>
      </c>
      <c r="M14" s="3">
        <v>2</v>
      </c>
      <c r="N14" s="3">
        <v>3480</v>
      </c>
      <c r="O14" s="3">
        <v>19638</v>
      </c>
      <c r="P14" s="3">
        <v>0</v>
      </c>
      <c r="Q14" s="3">
        <v>2</v>
      </c>
      <c r="R14" s="3">
        <v>3237</v>
      </c>
      <c r="S14" s="3">
        <v>92</v>
      </c>
      <c r="T14" s="3">
        <v>357025</v>
      </c>
      <c r="U14" s="3">
        <v>47447</v>
      </c>
      <c r="V14" s="3">
        <v>0</v>
      </c>
      <c r="W14" s="3">
        <v>0</v>
      </c>
      <c r="X14" s="3">
        <v>6.29</v>
      </c>
      <c r="AA14" t="s">
        <v>51</v>
      </c>
      <c r="AB14" s="3">
        <v>718300</v>
      </c>
      <c r="AC14" s="3">
        <v>93620.3</v>
      </c>
      <c r="AD14" s="3">
        <v>50488.584100000007</v>
      </c>
      <c r="AE14" s="3">
        <v>43131.715899999996</v>
      </c>
      <c r="AF14" s="3">
        <v>85.428650196589658</v>
      </c>
      <c r="AG14" s="3">
        <v>46.070901182756295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s="3">
        <v>3545.25</v>
      </c>
      <c r="AO14" s="3">
        <v>77573.63</v>
      </c>
      <c r="AP14" s="3">
        <v>64988.455000000009</v>
      </c>
      <c r="AQ14" s="3">
        <v>12585.174999999996</v>
      </c>
      <c r="AR14" s="3">
        <v>19.365247258147612</v>
      </c>
      <c r="AS14" s="3">
        <v>16.223522091205471</v>
      </c>
      <c r="AT14" s="3">
        <v>1</v>
      </c>
      <c r="AU14" s="3">
        <v>800</v>
      </c>
      <c r="AV14" s="3">
        <v>0</v>
      </c>
      <c r="AW14" s="3">
        <v>800</v>
      </c>
      <c r="AX14" s="3">
        <v>0</v>
      </c>
      <c r="AY14" s="3">
        <v>100</v>
      </c>
    </row>
    <row r="15" spans="1:51" hidden="1" x14ac:dyDescent="0.2">
      <c r="A15">
        <v>14</v>
      </c>
      <c r="B15" s="4">
        <v>46036</v>
      </c>
      <c r="C15" s="3"/>
      <c r="D15" s="3"/>
      <c r="E15" s="3">
        <v>0</v>
      </c>
      <c r="F15" s="3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>
        <v>2</v>
      </c>
      <c r="R15" s="3">
        <v>2601</v>
      </c>
      <c r="S15" s="3"/>
      <c r="T15" s="3"/>
      <c r="U15" s="3"/>
      <c r="V15" s="3">
        <v>0</v>
      </c>
      <c r="W15" s="3">
        <v>0</v>
      </c>
      <c r="X15" s="3">
        <v>0</v>
      </c>
      <c r="AA15" t="s">
        <v>51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</row>
    <row r="16" spans="1:51" hidden="1" x14ac:dyDescent="0.2">
      <c r="A16">
        <v>15</v>
      </c>
      <c r="B16" s="4">
        <v>46037</v>
      </c>
      <c r="C16" s="3"/>
      <c r="D16" s="3"/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>
        <v>0</v>
      </c>
      <c r="W16" s="3">
        <v>0</v>
      </c>
      <c r="X16" s="3">
        <v>0</v>
      </c>
      <c r="AA16" t="s">
        <v>51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</row>
    <row r="17" spans="1:51" hidden="1" x14ac:dyDescent="0.2">
      <c r="A17">
        <v>16</v>
      </c>
      <c r="B17" s="4">
        <v>46038</v>
      </c>
      <c r="C17" s="3">
        <v>1232.3599999999999</v>
      </c>
      <c r="D17" s="3">
        <v>338899</v>
      </c>
      <c r="E17" s="3">
        <v>1445</v>
      </c>
      <c r="F17" s="3">
        <v>275224.91000000003</v>
      </c>
      <c r="G17" s="3">
        <v>7</v>
      </c>
      <c r="H17" s="3">
        <v>20700</v>
      </c>
      <c r="I17" s="3">
        <v>250056</v>
      </c>
      <c r="J17" s="3">
        <v>9</v>
      </c>
      <c r="K17" s="3">
        <v>11790</v>
      </c>
      <c r="L17" s="3">
        <v>25196</v>
      </c>
      <c r="M17" s="3">
        <v>3</v>
      </c>
      <c r="N17" s="3">
        <v>5558</v>
      </c>
      <c r="O17" s="3">
        <v>35314</v>
      </c>
      <c r="P17" s="3">
        <v>130</v>
      </c>
      <c r="Q17" s="3">
        <v>4</v>
      </c>
      <c r="R17" s="3">
        <v>17323</v>
      </c>
      <c r="S17" s="3">
        <v>387</v>
      </c>
      <c r="T17" s="3">
        <v>1300012</v>
      </c>
      <c r="U17" s="3">
        <v>39496</v>
      </c>
      <c r="V17" s="3">
        <v>0</v>
      </c>
      <c r="W17" s="3">
        <v>0</v>
      </c>
      <c r="X17" s="3">
        <v>6.07</v>
      </c>
      <c r="AA17" t="s">
        <v>51</v>
      </c>
      <c r="AB17" s="3">
        <v>949700</v>
      </c>
      <c r="AC17" s="3">
        <v>85048.5</v>
      </c>
      <c r="AD17" s="3">
        <v>48244.350200000001</v>
      </c>
      <c r="AE17" s="3">
        <v>36804.149799999999</v>
      </c>
      <c r="AF17" s="3">
        <v>76.286963442198044</v>
      </c>
      <c r="AG17" s="3">
        <v>43.274307953697004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s="3">
        <v>5291.3200000000006</v>
      </c>
      <c r="AO17" s="3">
        <v>116409.04000000002</v>
      </c>
      <c r="AP17" s="3">
        <v>98698.539999999979</v>
      </c>
      <c r="AQ17" s="3">
        <v>17710.500000000044</v>
      </c>
      <c r="AR17" s="3">
        <v>17.944034430499222</v>
      </c>
      <c r="AS17" s="3">
        <v>15.214024615270464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</row>
    <row r="18" spans="1:51" hidden="1" x14ac:dyDescent="0.2">
      <c r="A18">
        <v>17</v>
      </c>
      <c r="B18" s="4">
        <v>46039</v>
      </c>
      <c r="C18" s="3"/>
      <c r="D18" s="3"/>
      <c r="E18" s="3">
        <v>3417</v>
      </c>
      <c r="F18" s="3">
        <v>337781</v>
      </c>
      <c r="G18" s="3">
        <v>8</v>
      </c>
      <c r="H18" s="3">
        <v>28100</v>
      </c>
      <c r="I18" s="3">
        <v>276222</v>
      </c>
      <c r="J18" s="3">
        <v>17</v>
      </c>
      <c r="K18" s="3">
        <v>26076</v>
      </c>
      <c r="L18" s="3">
        <v>91901</v>
      </c>
      <c r="M18" s="3">
        <v>9</v>
      </c>
      <c r="N18" s="3">
        <v>17720</v>
      </c>
      <c r="O18" s="3">
        <v>55775</v>
      </c>
      <c r="P18" s="3">
        <v>213</v>
      </c>
      <c r="Q18" s="3">
        <v>14</v>
      </c>
      <c r="R18" s="3">
        <v>68981</v>
      </c>
      <c r="S18" s="3">
        <v>432</v>
      </c>
      <c r="T18" s="3">
        <v>1071080</v>
      </c>
      <c r="U18" s="3">
        <v>80140</v>
      </c>
      <c r="V18" s="3">
        <v>0</v>
      </c>
      <c r="W18" s="3">
        <v>0</v>
      </c>
      <c r="X18" s="3">
        <v>1.67</v>
      </c>
      <c r="AA18" t="s">
        <v>51</v>
      </c>
      <c r="AB18" s="3">
        <v>599250</v>
      </c>
      <c r="AC18" s="3">
        <v>60370</v>
      </c>
      <c r="AD18" s="3">
        <v>48593.927939999994</v>
      </c>
      <c r="AE18" s="3">
        <v>11776.072060000006</v>
      </c>
      <c r="AF18" s="3">
        <v>24.233628684102641</v>
      </c>
      <c r="AG18" s="3">
        <v>19.506496703660769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s="3">
        <v>796.8</v>
      </c>
      <c r="AO18" s="3">
        <v>16732.8</v>
      </c>
      <c r="AP18" s="3">
        <v>14249.600000000002</v>
      </c>
      <c r="AQ18" s="3">
        <v>2483.1999999999971</v>
      </c>
      <c r="AR18" s="3">
        <v>17.426454075903862</v>
      </c>
      <c r="AS18" s="3">
        <v>14.840313635494343</v>
      </c>
      <c r="AT18" s="3">
        <v>1</v>
      </c>
      <c r="AU18" s="3">
        <v>750</v>
      </c>
      <c r="AV18" s="3">
        <v>0</v>
      </c>
      <c r="AW18" s="3">
        <v>750</v>
      </c>
      <c r="AX18" s="3">
        <v>0</v>
      </c>
      <c r="AY18" s="3">
        <v>100</v>
      </c>
    </row>
    <row r="19" spans="1:51" hidden="1" x14ac:dyDescent="0.2">
      <c r="A19">
        <v>18</v>
      </c>
      <c r="B19" s="4">
        <v>46040</v>
      </c>
      <c r="C19" s="3"/>
      <c r="D19" s="3"/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</v>
      </c>
      <c r="W19" s="3">
        <v>0</v>
      </c>
      <c r="X19" s="3">
        <v>0</v>
      </c>
      <c r="AA19" t="s">
        <v>51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</row>
    <row r="20" spans="1:51" hidden="1" x14ac:dyDescent="0.2">
      <c r="A20">
        <v>19</v>
      </c>
      <c r="B20" s="4">
        <v>46041</v>
      </c>
      <c r="C20" s="3">
        <v>11200</v>
      </c>
      <c r="D20" s="3">
        <v>5600</v>
      </c>
      <c r="E20" s="3">
        <v>11372.25</v>
      </c>
      <c r="F20" s="3">
        <v>49629.55</v>
      </c>
      <c r="G20" s="3"/>
      <c r="H20" s="3"/>
      <c r="I20" s="3"/>
      <c r="J20" s="3">
        <v>92</v>
      </c>
      <c r="K20" s="3">
        <v>137155</v>
      </c>
      <c r="L20" s="3">
        <v>329424</v>
      </c>
      <c r="M20" s="3">
        <v>10</v>
      </c>
      <c r="N20" s="3">
        <v>15740</v>
      </c>
      <c r="O20" s="3">
        <v>53196</v>
      </c>
      <c r="P20" s="3">
        <v>98</v>
      </c>
      <c r="Q20" s="3">
        <v>14</v>
      </c>
      <c r="R20" s="3">
        <v>50457</v>
      </c>
      <c r="S20" s="3">
        <v>347</v>
      </c>
      <c r="T20" s="3">
        <v>865155</v>
      </c>
      <c r="U20" s="3">
        <v>49935</v>
      </c>
      <c r="V20" s="3">
        <v>0</v>
      </c>
      <c r="W20" s="3">
        <v>0</v>
      </c>
      <c r="X20" s="3">
        <v>9.9700000000000006</v>
      </c>
      <c r="AA20" t="s">
        <v>51</v>
      </c>
      <c r="AB20" s="3">
        <v>1406520</v>
      </c>
      <c r="AC20" s="3">
        <v>95941.02</v>
      </c>
      <c r="AD20" s="3">
        <v>81603.040959999984</v>
      </c>
      <c r="AE20" s="3">
        <v>14337.97904000002</v>
      </c>
      <c r="AF20" s="3">
        <v>17.570397954934279</v>
      </c>
      <c r="AG20" s="3">
        <v>14.944576407463689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s="3">
        <v>10989.93</v>
      </c>
      <c r="AO20" s="3">
        <v>241778.46</v>
      </c>
      <c r="AP20" s="3">
        <v>207162.62</v>
      </c>
      <c r="AQ20" s="3">
        <v>34615.839999999997</v>
      </c>
      <c r="AR20" s="3">
        <v>16.709500970783242</v>
      </c>
      <c r="AS20" s="3">
        <v>14.317172836653851</v>
      </c>
      <c r="AT20" s="3">
        <v>12200.45</v>
      </c>
      <c r="AU20" s="3">
        <v>74725.049999999988</v>
      </c>
      <c r="AV20" s="3">
        <v>48568.75</v>
      </c>
      <c r="AW20" s="3">
        <v>26156.299999999988</v>
      </c>
      <c r="AX20" s="3">
        <v>53.854175781752645</v>
      </c>
      <c r="AY20" s="3">
        <v>35.003389091074538</v>
      </c>
    </row>
    <row r="21" spans="1:51" hidden="1" x14ac:dyDescent="0.2">
      <c r="A21">
        <v>20</v>
      </c>
      <c r="B21" s="4">
        <v>46042</v>
      </c>
      <c r="C21" s="3"/>
      <c r="D21" s="3"/>
      <c r="E21" s="3">
        <v>2414</v>
      </c>
      <c r="F21" s="3">
        <v>246806</v>
      </c>
      <c r="G21" s="3">
        <v>8</v>
      </c>
      <c r="H21" s="3">
        <v>31090</v>
      </c>
      <c r="I21" s="3">
        <v>286339</v>
      </c>
      <c r="J21" s="3">
        <v>58</v>
      </c>
      <c r="K21" s="3">
        <v>83615</v>
      </c>
      <c r="L21" s="3">
        <v>252221</v>
      </c>
      <c r="M21" s="3">
        <v>9</v>
      </c>
      <c r="N21" s="3">
        <v>10160</v>
      </c>
      <c r="O21" s="3">
        <v>28964</v>
      </c>
      <c r="P21" s="3">
        <v>140</v>
      </c>
      <c r="Q21" s="3">
        <v>15</v>
      </c>
      <c r="R21" s="3">
        <v>38278</v>
      </c>
      <c r="S21" s="3">
        <v>456</v>
      </c>
      <c r="T21" s="3">
        <v>1337875</v>
      </c>
      <c r="U21" s="3">
        <v>75284</v>
      </c>
      <c r="V21" s="3">
        <v>0</v>
      </c>
      <c r="W21" s="3">
        <v>0</v>
      </c>
      <c r="X21" s="3">
        <v>3</v>
      </c>
      <c r="AA21" t="s">
        <v>51</v>
      </c>
      <c r="AB21" s="3">
        <v>1268970</v>
      </c>
      <c r="AC21" s="3">
        <v>144917.82</v>
      </c>
      <c r="AD21" s="3">
        <v>100718.287505</v>
      </c>
      <c r="AE21" s="3">
        <v>44199.532495000007</v>
      </c>
      <c r="AF21" s="3">
        <v>43.884316929838377</v>
      </c>
      <c r="AG21" s="3">
        <v>30.499722183924661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s="3">
        <v>9038.0600000000013</v>
      </c>
      <c r="AO21" s="3">
        <v>192934.92</v>
      </c>
      <c r="AP21" s="3">
        <v>164815.42000000004</v>
      </c>
      <c r="AQ21" s="3">
        <v>28119.499999999971</v>
      </c>
      <c r="AR21" s="3">
        <v>17.061207015702756</v>
      </c>
      <c r="AS21" s="3">
        <v>14.574603705746981</v>
      </c>
      <c r="AT21" s="3">
        <v>344.24</v>
      </c>
      <c r="AU21" s="3">
        <v>9983.24</v>
      </c>
      <c r="AV21" s="3">
        <v>0</v>
      </c>
      <c r="AW21" s="3">
        <v>9983.24</v>
      </c>
      <c r="AX21" s="3">
        <v>0</v>
      </c>
      <c r="AY21" s="3">
        <v>100</v>
      </c>
    </row>
    <row r="22" spans="1:51" hidden="1" x14ac:dyDescent="0.2">
      <c r="A22">
        <v>21</v>
      </c>
      <c r="B22" s="4">
        <v>46043</v>
      </c>
      <c r="C22" s="3">
        <v>2422</v>
      </c>
      <c r="D22" s="3">
        <v>196182</v>
      </c>
      <c r="E22" s="3">
        <v>3520</v>
      </c>
      <c r="F22" s="3">
        <v>458601</v>
      </c>
      <c r="G22" s="3">
        <v>8</v>
      </c>
      <c r="H22" s="3">
        <v>29990</v>
      </c>
      <c r="I22" s="3">
        <v>289003</v>
      </c>
      <c r="J22" s="3">
        <v>68</v>
      </c>
      <c r="K22" s="3">
        <v>78070</v>
      </c>
      <c r="L22" s="3">
        <v>237666</v>
      </c>
      <c r="M22" s="3">
        <v>21</v>
      </c>
      <c r="N22" s="3">
        <v>26435</v>
      </c>
      <c r="O22" s="3">
        <v>104910</v>
      </c>
      <c r="P22" s="3">
        <v>815</v>
      </c>
      <c r="Q22" s="3">
        <v>22</v>
      </c>
      <c r="R22" s="3">
        <v>42305</v>
      </c>
      <c r="S22" s="3">
        <v>442</v>
      </c>
      <c r="T22" s="3">
        <v>1745955</v>
      </c>
      <c r="U22" s="3">
        <v>111128</v>
      </c>
      <c r="V22" s="3">
        <v>-180</v>
      </c>
      <c r="W22" s="3">
        <v>0</v>
      </c>
      <c r="X22" s="3">
        <v>5.99</v>
      </c>
      <c r="AA22" t="s">
        <v>51</v>
      </c>
      <c r="AB22" s="3">
        <v>1334140</v>
      </c>
      <c r="AC22" s="3">
        <v>121148.05</v>
      </c>
      <c r="AD22" s="3">
        <v>85925.222900000008</v>
      </c>
      <c r="AE22" s="3">
        <v>35222.827099999995</v>
      </c>
      <c r="AF22" s="3">
        <v>40.99241865335911</v>
      </c>
      <c r="AG22" s="3">
        <v>29.074200616518382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s="3">
        <v>11357.420000000004</v>
      </c>
      <c r="AO22" s="3">
        <v>289374.70999999996</v>
      </c>
      <c r="AP22" s="3">
        <v>235474.04000000004</v>
      </c>
      <c r="AQ22" s="3">
        <v>53900.669999999925</v>
      </c>
      <c r="AR22" s="3">
        <v>22.890281238645212</v>
      </c>
      <c r="AS22" s="3">
        <v>18.626600092316266</v>
      </c>
      <c r="AT22" s="3">
        <v>444.6</v>
      </c>
      <c r="AU22" s="3">
        <v>9781.2000000000007</v>
      </c>
      <c r="AV22" s="3">
        <v>0</v>
      </c>
      <c r="AW22" s="3">
        <v>9781.2000000000007</v>
      </c>
      <c r="AX22" s="3">
        <v>0</v>
      </c>
      <c r="AY22" s="3">
        <v>100</v>
      </c>
    </row>
    <row r="23" spans="1:51" hidden="1" x14ac:dyDescent="0.2">
      <c r="A23">
        <v>22</v>
      </c>
      <c r="B23" s="4">
        <v>46044</v>
      </c>
      <c r="C23" s="3">
        <v>23920</v>
      </c>
      <c r="D23" s="3">
        <v>112490.4</v>
      </c>
      <c r="E23" s="3">
        <v>2102</v>
      </c>
      <c r="F23" s="3">
        <v>300720.68</v>
      </c>
      <c r="G23" s="3">
        <v>7</v>
      </c>
      <c r="H23" s="3">
        <v>22000</v>
      </c>
      <c r="I23" s="3">
        <v>199256</v>
      </c>
      <c r="J23" s="3">
        <v>88</v>
      </c>
      <c r="K23" s="3">
        <v>103230</v>
      </c>
      <c r="L23" s="3">
        <v>287020</v>
      </c>
      <c r="M23" s="3">
        <v>21</v>
      </c>
      <c r="N23" s="3">
        <v>33788</v>
      </c>
      <c r="O23" s="3">
        <v>106904</v>
      </c>
      <c r="P23" s="3">
        <v>152</v>
      </c>
      <c r="Q23" s="3">
        <v>18</v>
      </c>
      <c r="R23" s="3">
        <v>60145</v>
      </c>
      <c r="S23" s="3">
        <v>401</v>
      </c>
      <c r="T23" s="3">
        <v>1541935</v>
      </c>
      <c r="U23" s="3">
        <v>111535</v>
      </c>
      <c r="V23" s="3">
        <v>0</v>
      </c>
      <c r="W23" s="3">
        <v>0</v>
      </c>
      <c r="X23" s="3">
        <v>3.88</v>
      </c>
      <c r="AA23" t="s">
        <v>51</v>
      </c>
      <c r="AB23" s="3">
        <v>769960</v>
      </c>
      <c r="AC23" s="3">
        <v>88268.080000000016</v>
      </c>
      <c r="AD23" s="3">
        <v>67705.667780000003</v>
      </c>
      <c r="AE23" s="3">
        <v>20562.412220000013</v>
      </c>
      <c r="AF23" s="3">
        <v>30.370296747998506</v>
      </c>
      <c r="AG23" s="3">
        <v>23.295411229064921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s="3">
        <v>13050.14</v>
      </c>
      <c r="AO23" s="3">
        <v>133282.23999999996</v>
      </c>
      <c r="AP23" s="3">
        <v>245518.6590000001</v>
      </c>
      <c r="AQ23" s="3">
        <v>-112236.41900000014</v>
      </c>
      <c r="AR23" s="3">
        <v>0</v>
      </c>
      <c r="AS23" s="3">
        <v>0</v>
      </c>
      <c r="AT23" s="3">
        <v>347.16</v>
      </c>
      <c r="AU23" s="3">
        <v>7637.52</v>
      </c>
      <c r="AV23" s="3">
        <v>0</v>
      </c>
      <c r="AW23" s="3">
        <v>7637.52</v>
      </c>
      <c r="AX23" s="3">
        <v>0</v>
      </c>
      <c r="AY23" s="3">
        <v>100</v>
      </c>
    </row>
    <row r="24" spans="1:51" hidden="1" x14ac:dyDescent="0.2">
      <c r="A24">
        <v>23</v>
      </c>
      <c r="B24" s="4">
        <v>46045</v>
      </c>
      <c r="C24" s="3"/>
      <c r="D24" s="3"/>
      <c r="E24" s="3">
        <v>23935</v>
      </c>
      <c r="F24" s="3">
        <v>117044.40000000001</v>
      </c>
      <c r="G24" s="3">
        <v>2</v>
      </c>
      <c r="H24" s="3">
        <v>8500</v>
      </c>
      <c r="I24" s="3">
        <v>78285</v>
      </c>
      <c r="J24" s="3">
        <v>98</v>
      </c>
      <c r="K24" s="3">
        <v>137125</v>
      </c>
      <c r="L24" s="3">
        <v>385083</v>
      </c>
      <c r="M24" s="3">
        <v>18</v>
      </c>
      <c r="N24" s="3">
        <v>22874</v>
      </c>
      <c r="O24" s="3">
        <v>93990</v>
      </c>
      <c r="P24" s="3">
        <v>205</v>
      </c>
      <c r="Q24" s="3">
        <v>13</v>
      </c>
      <c r="R24" s="3">
        <v>38973</v>
      </c>
      <c r="S24" s="3">
        <v>908</v>
      </c>
      <c r="T24" s="3">
        <v>1147245</v>
      </c>
      <c r="U24" s="3">
        <v>84077</v>
      </c>
      <c r="V24" s="3">
        <v>0</v>
      </c>
      <c r="W24" s="3">
        <v>0</v>
      </c>
      <c r="X24" s="3">
        <v>1.72</v>
      </c>
      <c r="AA24" t="s">
        <v>51</v>
      </c>
      <c r="AB24" s="3">
        <v>1154975</v>
      </c>
      <c r="AC24" s="3">
        <v>168106.94999999998</v>
      </c>
      <c r="AD24" s="3">
        <v>90518.105824999991</v>
      </c>
      <c r="AE24" s="3">
        <v>77588.844174999991</v>
      </c>
      <c r="AF24" s="3">
        <v>85.716380681897675</v>
      </c>
      <c r="AG24" s="3">
        <v>46.154453563639095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s="3">
        <v>12435.110000000006</v>
      </c>
      <c r="AO24" s="3">
        <v>111915.98000000001</v>
      </c>
      <c r="AP24" s="3">
        <v>234691.32299999995</v>
      </c>
      <c r="AQ24" s="3">
        <v>-122775.34299999994</v>
      </c>
      <c r="AR24" s="3">
        <v>0</v>
      </c>
      <c r="AS24" s="3">
        <v>0</v>
      </c>
      <c r="AT24" s="3">
        <v>14</v>
      </c>
      <c r="AU24" s="3">
        <v>14900</v>
      </c>
      <c r="AV24" s="3">
        <v>0</v>
      </c>
      <c r="AW24" s="3">
        <v>14900</v>
      </c>
      <c r="AX24" s="3">
        <v>0</v>
      </c>
      <c r="AY24" s="3">
        <v>100</v>
      </c>
    </row>
    <row r="25" spans="1:51" hidden="1" x14ac:dyDescent="0.2">
      <c r="A25">
        <v>24</v>
      </c>
      <c r="B25" s="4">
        <v>46046</v>
      </c>
      <c r="C25" s="3">
        <v>6380</v>
      </c>
      <c r="D25" s="3">
        <v>144963.6</v>
      </c>
      <c r="E25" s="3">
        <v>6839.7699999999995</v>
      </c>
      <c r="F25" s="3">
        <v>177220.27499999999</v>
      </c>
      <c r="G25" s="3">
        <v>5</v>
      </c>
      <c r="H25" s="3">
        <v>17220</v>
      </c>
      <c r="I25" s="3">
        <v>189500</v>
      </c>
      <c r="J25" s="3">
        <v>83</v>
      </c>
      <c r="K25" s="3">
        <v>107792</v>
      </c>
      <c r="L25" s="3">
        <v>414076</v>
      </c>
      <c r="M25" s="3">
        <v>13</v>
      </c>
      <c r="N25" s="3">
        <v>16978</v>
      </c>
      <c r="O25" s="3">
        <v>55155</v>
      </c>
      <c r="P25" s="3">
        <v>214</v>
      </c>
      <c r="Q25" s="3">
        <v>9</v>
      </c>
      <c r="R25" s="3">
        <v>47531</v>
      </c>
      <c r="S25" s="3">
        <v>581</v>
      </c>
      <c r="T25" s="3">
        <v>1563410</v>
      </c>
      <c r="U25" s="3">
        <v>107561</v>
      </c>
      <c r="V25" s="3">
        <v>1600</v>
      </c>
      <c r="W25" s="3">
        <v>0.08</v>
      </c>
      <c r="X25" s="3">
        <v>9.4499999999999993</v>
      </c>
      <c r="AA25" t="s">
        <v>51</v>
      </c>
      <c r="AB25" s="3">
        <v>1865250</v>
      </c>
      <c r="AC25" s="3">
        <v>194458.16999999998</v>
      </c>
      <c r="AD25" s="3">
        <v>128720.8293</v>
      </c>
      <c r="AE25" s="3">
        <v>65737.340699999986</v>
      </c>
      <c r="AF25" s="3">
        <v>51.069699486468409</v>
      </c>
      <c r="AG25" s="3">
        <v>33.805388943030778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s="3">
        <v>2872.16</v>
      </c>
      <c r="AO25" s="3">
        <v>60315.360000000001</v>
      </c>
      <c r="AP25" s="3">
        <v>55376.44999999999</v>
      </c>
      <c r="AQ25" s="3">
        <v>4938.9100000000108</v>
      </c>
      <c r="AR25" s="3">
        <v>8.9187912912438616</v>
      </c>
      <c r="AS25" s="3">
        <v>8.1884780261611816</v>
      </c>
      <c r="AT25" s="3">
        <v>991.1</v>
      </c>
      <c r="AU25" s="3">
        <v>25331.7</v>
      </c>
      <c r="AV25" s="3">
        <v>0</v>
      </c>
      <c r="AW25" s="3">
        <v>25331.7</v>
      </c>
      <c r="AX25" s="3">
        <v>0</v>
      </c>
      <c r="AY25" s="3">
        <v>100</v>
      </c>
    </row>
    <row r="26" spans="1:51" hidden="1" x14ac:dyDescent="0.2">
      <c r="A26">
        <v>25</v>
      </c>
      <c r="B26" s="4">
        <v>46047</v>
      </c>
      <c r="C26" s="3"/>
      <c r="D26" s="3"/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>
        <v>0</v>
      </c>
      <c r="W26" s="3">
        <v>0</v>
      </c>
      <c r="X26" s="3">
        <v>0</v>
      </c>
      <c r="AA26" t="s">
        <v>51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</row>
    <row r="27" spans="1:51" hidden="1" x14ac:dyDescent="0.2">
      <c r="A27">
        <v>26</v>
      </c>
      <c r="B27" s="4">
        <v>46048</v>
      </c>
      <c r="C27" s="3"/>
      <c r="D27" s="3"/>
      <c r="E27" s="3">
        <v>1169.0899999999999</v>
      </c>
      <c r="F27" s="3">
        <v>265855.33499999996</v>
      </c>
      <c r="G27" s="3">
        <v>7</v>
      </c>
      <c r="H27" s="3">
        <v>16350</v>
      </c>
      <c r="I27" s="3">
        <v>204546</v>
      </c>
      <c r="J27" s="3">
        <v>66</v>
      </c>
      <c r="K27" s="3">
        <v>77530</v>
      </c>
      <c r="L27" s="3">
        <v>201252</v>
      </c>
      <c r="M27" s="3">
        <v>15</v>
      </c>
      <c r="N27" s="3">
        <v>18157</v>
      </c>
      <c r="O27" s="3">
        <v>77129</v>
      </c>
      <c r="P27" s="3">
        <v>72</v>
      </c>
      <c r="Q27" s="3">
        <v>14</v>
      </c>
      <c r="R27" s="3">
        <v>73869</v>
      </c>
      <c r="S27" s="3">
        <v>619</v>
      </c>
      <c r="T27" s="3">
        <v>897389</v>
      </c>
      <c r="U27" s="3">
        <v>104061</v>
      </c>
      <c r="V27" s="3">
        <v>0</v>
      </c>
      <c r="W27" s="3">
        <v>0</v>
      </c>
      <c r="X27" s="3">
        <v>1.5</v>
      </c>
      <c r="AA27" t="s">
        <v>51</v>
      </c>
      <c r="AB27" s="3">
        <v>1049910</v>
      </c>
      <c r="AC27" s="3">
        <v>143661.07</v>
      </c>
      <c r="AD27" s="3">
        <v>66808.258044999995</v>
      </c>
      <c r="AE27" s="3">
        <v>76852.811955000012</v>
      </c>
      <c r="AF27" s="3">
        <v>115.03489868458226</v>
      </c>
      <c r="AG27" s="3">
        <v>53.49592061022517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s="3">
        <v>2509.0399999999995</v>
      </c>
      <c r="AO27" s="3">
        <v>60217.200000000012</v>
      </c>
      <c r="AP27" s="3">
        <v>48673.58</v>
      </c>
      <c r="AQ27" s="3">
        <v>11543.62000000001</v>
      </c>
      <c r="AR27" s="3">
        <v>23.716398095229504</v>
      </c>
      <c r="AS27" s="3">
        <v>19.169971370306172</v>
      </c>
      <c r="AT27" s="3">
        <v>9</v>
      </c>
      <c r="AU27" s="3">
        <v>6600</v>
      </c>
      <c r="AV27" s="3">
        <v>0</v>
      </c>
      <c r="AW27" s="3">
        <v>6600</v>
      </c>
      <c r="AX27" s="3">
        <v>0</v>
      </c>
      <c r="AY27" s="3">
        <v>100</v>
      </c>
    </row>
    <row r="28" spans="1:51" hidden="1" x14ac:dyDescent="0.2">
      <c r="A28">
        <v>27</v>
      </c>
      <c r="B28" s="4">
        <v>46049</v>
      </c>
      <c r="C28" s="3">
        <v>4000</v>
      </c>
      <c r="D28" s="3">
        <v>920000</v>
      </c>
      <c r="E28" s="3">
        <v>2119.8000000000002</v>
      </c>
      <c r="F28" s="3">
        <v>262543.68</v>
      </c>
      <c r="G28" s="3">
        <v>9</v>
      </c>
      <c r="H28" s="3">
        <v>27650</v>
      </c>
      <c r="I28" s="3">
        <v>272343</v>
      </c>
      <c r="J28" s="3">
        <v>79</v>
      </c>
      <c r="K28" s="3">
        <v>109075</v>
      </c>
      <c r="L28" s="3">
        <v>349901</v>
      </c>
      <c r="M28" s="3">
        <v>22</v>
      </c>
      <c r="N28" s="3">
        <v>24052</v>
      </c>
      <c r="O28" s="3">
        <v>64533</v>
      </c>
      <c r="P28" s="3">
        <v>113</v>
      </c>
      <c r="Q28" s="3">
        <v>16</v>
      </c>
      <c r="R28" s="3">
        <v>82394</v>
      </c>
      <c r="S28" s="3">
        <v>695</v>
      </c>
      <c r="T28" s="3">
        <v>2203865</v>
      </c>
      <c r="U28" s="3">
        <v>149765</v>
      </c>
      <c r="V28" s="3">
        <v>0</v>
      </c>
      <c r="W28" s="3">
        <v>0</v>
      </c>
      <c r="X28" s="3">
        <v>1.91</v>
      </c>
      <c r="AA28" t="s">
        <v>51</v>
      </c>
      <c r="AB28" s="3">
        <v>1577255</v>
      </c>
      <c r="AC28" s="3">
        <v>206258.95</v>
      </c>
      <c r="AD28" s="3">
        <v>116503.257</v>
      </c>
      <c r="AE28" s="3">
        <v>89755.693000000014</v>
      </c>
      <c r="AF28" s="3">
        <v>77.041359453152467</v>
      </c>
      <c r="AG28" s="3">
        <v>43.516023425892556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s="3">
        <v>14155.020000000004</v>
      </c>
      <c r="AO28" s="3">
        <v>309578.48999999987</v>
      </c>
      <c r="AP28" s="3">
        <v>255386.03000000009</v>
      </c>
      <c r="AQ28" s="3">
        <v>54192.459999999788</v>
      </c>
      <c r="AR28" s="3">
        <v>21.219821616710892</v>
      </c>
      <c r="AS28" s="3">
        <v>17.5052407549374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</row>
    <row r="29" spans="1:51" hidden="1" x14ac:dyDescent="0.2">
      <c r="A29">
        <v>28</v>
      </c>
      <c r="B29" s="4">
        <v>46050</v>
      </c>
      <c r="C29" s="3">
        <v>1367</v>
      </c>
      <c r="D29" s="3">
        <v>120296</v>
      </c>
      <c r="E29" s="3">
        <v>1272</v>
      </c>
      <c r="F29" s="3">
        <v>142965.35999999999</v>
      </c>
      <c r="G29" s="3">
        <v>5</v>
      </c>
      <c r="H29" s="3">
        <v>18100</v>
      </c>
      <c r="I29" s="3">
        <v>163489</v>
      </c>
      <c r="J29" s="3">
        <v>64</v>
      </c>
      <c r="K29" s="3">
        <v>84045</v>
      </c>
      <c r="L29" s="3">
        <v>166596</v>
      </c>
      <c r="M29" s="3">
        <v>14</v>
      </c>
      <c r="N29" s="3">
        <v>18861</v>
      </c>
      <c r="O29" s="3">
        <v>91743</v>
      </c>
      <c r="P29" s="3">
        <v>105</v>
      </c>
      <c r="Q29" s="3">
        <v>12</v>
      </c>
      <c r="R29" s="3">
        <v>27003</v>
      </c>
      <c r="S29" s="3">
        <v>384</v>
      </c>
      <c r="T29" s="3">
        <v>1567581</v>
      </c>
      <c r="U29" s="3">
        <v>129433</v>
      </c>
      <c r="V29" s="3">
        <v>17856</v>
      </c>
      <c r="W29" s="3">
        <v>1.04</v>
      </c>
      <c r="X29" s="3">
        <v>2.44</v>
      </c>
      <c r="AA29" t="s">
        <v>51</v>
      </c>
      <c r="AB29" s="3">
        <v>4495892</v>
      </c>
      <c r="AC29" s="3">
        <v>349086.35000000009</v>
      </c>
      <c r="AD29" s="3">
        <v>217963.18931800008</v>
      </c>
      <c r="AE29" s="3">
        <v>131123.16068200002</v>
      </c>
      <c r="AF29" s="3">
        <v>60.158396971653907</v>
      </c>
      <c r="AG29" s="3">
        <v>37.561812623724755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s="3">
        <v>29074.509999999987</v>
      </c>
      <c r="AO29" s="3">
        <v>688934.08999999973</v>
      </c>
      <c r="AP29" s="3">
        <v>588932.18499999959</v>
      </c>
      <c r="AQ29" s="3">
        <v>100001.90500000014</v>
      </c>
      <c r="AR29" s="3">
        <v>16.980207152373616</v>
      </c>
      <c r="AS29" s="3">
        <v>14.515453140081974</v>
      </c>
      <c r="AT29" s="3">
        <v>7</v>
      </c>
      <c r="AU29" s="3">
        <v>5500</v>
      </c>
      <c r="AV29" s="3">
        <v>0</v>
      </c>
      <c r="AW29" s="3">
        <v>5500</v>
      </c>
      <c r="AX29" s="3">
        <v>0</v>
      </c>
      <c r="AY29" s="3">
        <v>100</v>
      </c>
    </row>
    <row r="30" spans="1:51" hidden="1" x14ac:dyDescent="0.2">
      <c r="A30">
        <v>29</v>
      </c>
      <c r="B30" s="4">
        <v>46051</v>
      </c>
      <c r="C30" s="3">
        <v>270</v>
      </c>
      <c r="D30" s="3">
        <v>84330</v>
      </c>
      <c r="E30" s="3">
        <v>2453</v>
      </c>
      <c r="F30" s="3">
        <v>369002</v>
      </c>
      <c r="G30" s="3">
        <v>8</v>
      </c>
      <c r="H30" s="3">
        <v>26470</v>
      </c>
      <c r="I30" s="3">
        <v>256230</v>
      </c>
      <c r="J30" s="3">
        <v>58</v>
      </c>
      <c r="K30" s="3">
        <v>79360</v>
      </c>
      <c r="L30" s="3">
        <v>190324</v>
      </c>
      <c r="M30" s="3">
        <v>14</v>
      </c>
      <c r="N30" s="3">
        <v>16815</v>
      </c>
      <c r="O30" s="3">
        <v>52053</v>
      </c>
      <c r="P30" s="3">
        <v>10</v>
      </c>
      <c r="Q30" s="3">
        <v>10</v>
      </c>
      <c r="R30" s="3">
        <v>27751</v>
      </c>
      <c r="S30" s="3">
        <v>426</v>
      </c>
      <c r="T30" s="3">
        <v>1493018</v>
      </c>
      <c r="U30" s="3">
        <v>81243</v>
      </c>
      <c r="V30" s="3">
        <v>-411</v>
      </c>
      <c r="W30" s="3">
        <v>0</v>
      </c>
      <c r="X30" s="3">
        <v>3.42</v>
      </c>
      <c r="AA30" t="s">
        <v>51</v>
      </c>
      <c r="AB30" s="3">
        <v>992420</v>
      </c>
      <c r="AC30" s="3">
        <v>218649</v>
      </c>
      <c r="AD30" s="3">
        <v>93493.952163999988</v>
      </c>
      <c r="AE30" s="3">
        <v>125155.04783600001</v>
      </c>
      <c r="AF30" s="3">
        <v>133.86432484580664</v>
      </c>
      <c r="AG30" s="3">
        <v>57.240164755384207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s="3">
        <v>17013.500000000004</v>
      </c>
      <c r="AO30" s="3">
        <v>377640.64000000007</v>
      </c>
      <c r="AP30" s="3">
        <v>327176.9499999999</v>
      </c>
      <c r="AQ30" s="3">
        <v>50463.690000000177</v>
      </c>
      <c r="AR30" s="3">
        <v>15.423974702374416</v>
      </c>
      <c r="AS30" s="3">
        <v>13.362886473235552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</row>
    <row r="31" spans="1:51" hidden="1" x14ac:dyDescent="0.2">
      <c r="A31">
        <v>30</v>
      </c>
      <c r="B31" s="4">
        <v>46052</v>
      </c>
      <c r="C31" s="3"/>
      <c r="D31" s="3"/>
      <c r="E31" s="3">
        <v>3</v>
      </c>
      <c r="F31" s="3">
        <v>283.5</v>
      </c>
      <c r="G31" s="3"/>
      <c r="H31" s="3"/>
      <c r="I31" s="3"/>
      <c r="J31" s="3">
        <v>68</v>
      </c>
      <c r="K31" s="3">
        <v>90350</v>
      </c>
      <c r="L31" s="3">
        <v>216175</v>
      </c>
      <c r="M31" s="3">
        <v>14</v>
      </c>
      <c r="N31" s="3">
        <v>16883</v>
      </c>
      <c r="O31" s="3">
        <v>53346</v>
      </c>
      <c r="P31" s="3">
        <v>720</v>
      </c>
      <c r="Q31" s="3">
        <v>18</v>
      </c>
      <c r="R31" s="3">
        <v>70146</v>
      </c>
      <c r="S31" s="3">
        <v>341</v>
      </c>
      <c r="T31" s="3">
        <v>898637</v>
      </c>
      <c r="U31" s="3">
        <v>103053</v>
      </c>
      <c r="V31" s="3">
        <v>704</v>
      </c>
      <c r="W31" s="3">
        <v>7.0000000000000007E-2</v>
      </c>
      <c r="X31" s="3">
        <v>6.65</v>
      </c>
      <c r="AA31" t="s">
        <v>51</v>
      </c>
      <c r="AB31" s="3">
        <v>548730</v>
      </c>
      <c r="AC31" s="3">
        <v>101979</v>
      </c>
      <c r="AD31" s="3">
        <v>62188.342839999983</v>
      </c>
      <c r="AE31" s="3">
        <v>39790.657160000017</v>
      </c>
      <c r="AF31" s="3">
        <v>63.984109147874548</v>
      </c>
      <c r="AG31" s="3">
        <v>39.018481412839918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s="3">
        <v>4748.5200000000004</v>
      </c>
      <c r="AO31" s="3">
        <v>108810.23999999999</v>
      </c>
      <c r="AP31" s="3">
        <v>88488.319999999992</v>
      </c>
      <c r="AQ31" s="3">
        <v>20321.919999999998</v>
      </c>
      <c r="AR31" s="3">
        <v>22.965652416047678</v>
      </c>
      <c r="AS31" s="3">
        <v>18.676477507999248</v>
      </c>
      <c r="AT31" s="3">
        <v>10</v>
      </c>
      <c r="AU31" s="3">
        <v>7200</v>
      </c>
      <c r="AV31" s="3">
        <v>0</v>
      </c>
      <c r="AW31" s="3">
        <v>7200</v>
      </c>
      <c r="AX31" s="3">
        <v>0</v>
      </c>
      <c r="AY31" s="3">
        <v>100</v>
      </c>
    </row>
    <row r="32" spans="1:51" hidden="1" x14ac:dyDescent="0.2">
      <c r="A32">
        <v>31</v>
      </c>
      <c r="B32" s="4">
        <v>46053</v>
      </c>
      <c r="C32" s="3">
        <v>3914.6</v>
      </c>
      <c r="D32" s="3">
        <v>705958.96</v>
      </c>
      <c r="E32" s="3">
        <v>47</v>
      </c>
      <c r="F32" s="3">
        <v>6079.5</v>
      </c>
      <c r="G32" s="3"/>
      <c r="H32" s="3"/>
      <c r="I32" s="3"/>
      <c r="J32" s="3">
        <v>57</v>
      </c>
      <c r="K32" s="3">
        <v>76905</v>
      </c>
      <c r="L32" s="3">
        <v>259419</v>
      </c>
      <c r="M32" s="3">
        <v>14</v>
      </c>
      <c r="N32" s="3">
        <v>18210</v>
      </c>
      <c r="O32" s="3">
        <v>54018</v>
      </c>
      <c r="P32" s="3">
        <v>20</v>
      </c>
      <c r="Q32" s="3">
        <v>18</v>
      </c>
      <c r="R32" s="3">
        <v>78135</v>
      </c>
      <c r="S32" s="3">
        <v>655</v>
      </c>
      <c r="T32" s="3">
        <v>848022</v>
      </c>
      <c r="U32" s="3">
        <v>78794</v>
      </c>
      <c r="V32" s="3">
        <v>-34058</v>
      </c>
      <c r="W32" s="3">
        <v>0</v>
      </c>
      <c r="X32" s="3">
        <v>0</v>
      </c>
      <c r="AA32" t="s">
        <v>51</v>
      </c>
      <c r="AB32" s="3">
        <v>1458828</v>
      </c>
      <c r="AC32" s="3">
        <v>176338.1</v>
      </c>
      <c r="AD32" s="3">
        <v>154533.53940799995</v>
      </c>
      <c r="AE32" s="3">
        <v>21804.560592000053</v>
      </c>
      <c r="AF32" s="3">
        <v>14.109921170207318</v>
      </c>
      <c r="AG32" s="3">
        <v>12.365201049574681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s="3">
        <v>14068.7</v>
      </c>
      <c r="AO32" s="3">
        <v>328084.94</v>
      </c>
      <c r="AP32" s="3">
        <v>281111.97500000003</v>
      </c>
      <c r="AQ32" s="3">
        <v>46972.964999999967</v>
      </c>
      <c r="AR32" s="3">
        <v>16.709699044304308</v>
      </c>
      <c r="AS32" s="3">
        <v>14.317318253010933</v>
      </c>
      <c r="AT32" s="3">
        <v>3561.68</v>
      </c>
      <c r="AU32" s="3">
        <v>95118.660000000018</v>
      </c>
      <c r="AV32" s="3">
        <v>0</v>
      </c>
      <c r="AW32" s="3">
        <v>95118.660000000018</v>
      </c>
      <c r="AX32" s="3">
        <v>0</v>
      </c>
      <c r="AY32" s="3">
        <v>100</v>
      </c>
    </row>
    <row r="33" spans="1:51" hidden="1" x14ac:dyDescent="0.2">
      <c r="A33">
        <v>32</v>
      </c>
      <c r="B33" s="4">
        <v>46054</v>
      </c>
      <c r="C33" s="3">
        <v>232938</v>
      </c>
      <c r="D33" s="3">
        <v>587697.81000000006</v>
      </c>
      <c r="E33" s="3">
        <v>0</v>
      </c>
      <c r="F33" s="3"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>
        <v>0</v>
      </c>
      <c r="W33" s="3">
        <v>0</v>
      </c>
      <c r="X33" s="3">
        <v>0</v>
      </c>
      <c r="AA33" t="s">
        <v>51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</row>
    <row r="34" spans="1:51" hidden="1" x14ac:dyDescent="0.2">
      <c r="A34">
        <v>33</v>
      </c>
      <c r="B34" s="4">
        <v>46055</v>
      </c>
      <c r="C34" s="3">
        <v>17192.7</v>
      </c>
      <c r="D34" s="3">
        <v>1578425.16</v>
      </c>
      <c r="E34" s="3">
        <v>76</v>
      </c>
      <c r="F34" s="3">
        <v>8295.5</v>
      </c>
      <c r="G34" s="3"/>
      <c r="H34" s="3"/>
      <c r="I34" s="3"/>
      <c r="J34" s="3"/>
      <c r="K34" s="3"/>
      <c r="L34" s="3"/>
      <c r="M34" s="3">
        <v>5</v>
      </c>
      <c r="N34" s="3">
        <v>7820</v>
      </c>
      <c r="O34" s="3">
        <v>24613</v>
      </c>
      <c r="P34" s="3">
        <v>20</v>
      </c>
      <c r="Q34" s="3">
        <v>10</v>
      </c>
      <c r="R34" s="3">
        <v>26627</v>
      </c>
      <c r="S34" s="3">
        <v>797</v>
      </c>
      <c r="T34" s="3">
        <v>799510</v>
      </c>
      <c r="U34" s="3">
        <v>91698</v>
      </c>
      <c r="V34" s="3">
        <v>0</v>
      </c>
      <c r="W34" s="3">
        <v>0</v>
      </c>
      <c r="X34" s="3">
        <v>0.14000000000000001</v>
      </c>
      <c r="AA34" t="s">
        <v>51</v>
      </c>
      <c r="AB34" s="3">
        <v>1130597</v>
      </c>
      <c r="AC34" s="3">
        <v>71621.850000000006</v>
      </c>
      <c r="AD34" s="3">
        <v>55617.385662999994</v>
      </c>
      <c r="AE34" s="3">
        <v>16004.464337000012</v>
      </c>
      <c r="AF34" s="3">
        <v>28.7760097786242</v>
      </c>
      <c r="AG34" s="3">
        <v>22.345784613215116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s="3">
        <v>2296.2000000000003</v>
      </c>
      <c r="AO34" s="3">
        <v>55108.799999999996</v>
      </c>
      <c r="AP34" s="3">
        <v>44228.200000000004</v>
      </c>
      <c r="AQ34" s="3">
        <v>10880.599999999991</v>
      </c>
      <c r="AR34" s="3">
        <v>24.601046391216443</v>
      </c>
      <c r="AS34" s="3">
        <v>19.743852161542243</v>
      </c>
      <c r="AT34" s="3">
        <v>59639.76</v>
      </c>
      <c r="AU34" s="3">
        <v>24170.120000000003</v>
      </c>
      <c r="AV34" s="3">
        <v>0</v>
      </c>
      <c r="AW34" s="3">
        <v>24170.120000000003</v>
      </c>
      <c r="AX34" s="3">
        <v>0</v>
      </c>
      <c r="AY34" s="3">
        <v>100</v>
      </c>
    </row>
    <row r="35" spans="1:51" hidden="1" x14ac:dyDescent="0.2">
      <c r="A35">
        <v>34</v>
      </c>
      <c r="B35" s="4">
        <v>46056</v>
      </c>
      <c r="C35" s="3">
        <v>3067</v>
      </c>
      <c r="D35" s="3">
        <v>423246</v>
      </c>
      <c r="E35" s="3">
        <v>2335.8000000000002</v>
      </c>
      <c r="F35" s="3">
        <v>286740.35000000003</v>
      </c>
      <c r="G35" s="3">
        <v>9</v>
      </c>
      <c r="H35" s="3">
        <v>30770</v>
      </c>
      <c r="I35" s="3">
        <v>299384</v>
      </c>
      <c r="J35" s="3">
        <v>32</v>
      </c>
      <c r="K35" s="3">
        <v>50320</v>
      </c>
      <c r="L35" s="3">
        <v>119155</v>
      </c>
      <c r="M35" s="3"/>
      <c r="N35" s="3"/>
      <c r="O35" s="3"/>
      <c r="P35" s="3">
        <v>0</v>
      </c>
      <c r="Q35" s="3">
        <v>9</v>
      </c>
      <c r="R35" s="3">
        <v>25172</v>
      </c>
      <c r="S35" s="3">
        <v>169</v>
      </c>
      <c r="T35" s="3">
        <v>336520</v>
      </c>
      <c r="U35" s="3">
        <v>53312</v>
      </c>
      <c r="V35" s="3">
        <v>0</v>
      </c>
      <c r="W35" s="3">
        <v>0</v>
      </c>
      <c r="X35" s="3">
        <v>18.23</v>
      </c>
      <c r="AA35" t="s">
        <v>51</v>
      </c>
      <c r="AB35" s="3">
        <v>811720</v>
      </c>
      <c r="AC35" s="3">
        <v>198615.8</v>
      </c>
      <c r="AD35" s="3">
        <v>124969.54805000004</v>
      </c>
      <c r="AE35" s="3">
        <v>73646.251949999947</v>
      </c>
      <c r="AF35" s="3">
        <v>58.931358158176458</v>
      </c>
      <c r="AG35" s="3">
        <v>37.079754959071707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s="3">
        <v>7081.2299999999977</v>
      </c>
      <c r="AO35" s="3">
        <v>166043.82999999999</v>
      </c>
      <c r="AP35" s="3">
        <v>139022.30999999994</v>
      </c>
      <c r="AQ35" s="3">
        <v>27021.520000000048</v>
      </c>
      <c r="AR35" s="3">
        <v>19.436822766072627</v>
      </c>
      <c r="AS35" s="3">
        <v>16.273727244186098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</row>
    <row r="36" spans="1:51" hidden="1" x14ac:dyDescent="0.2">
      <c r="A36">
        <v>35</v>
      </c>
      <c r="B36" s="4">
        <v>46057</v>
      </c>
      <c r="C36" s="3">
        <v>13852.2</v>
      </c>
      <c r="D36" s="3">
        <v>233785</v>
      </c>
      <c r="E36" s="3">
        <v>41255.68</v>
      </c>
      <c r="F36" s="3">
        <v>681921.71799999999</v>
      </c>
      <c r="G36" s="3">
        <v>12</v>
      </c>
      <c r="H36" s="3">
        <v>45900</v>
      </c>
      <c r="I36" s="3">
        <v>579977</v>
      </c>
      <c r="J36" s="3">
        <v>53</v>
      </c>
      <c r="K36" s="3">
        <v>73620</v>
      </c>
      <c r="L36" s="3">
        <v>240364</v>
      </c>
      <c r="M36" s="3">
        <v>4</v>
      </c>
      <c r="N36" s="3">
        <v>5700</v>
      </c>
      <c r="O36" s="3">
        <v>17925</v>
      </c>
      <c r="P36" s="3">
        <v>180</v>
      </c>
      <c r="Q36" s="3">
        <v>12</v>
      </c>
      <c r="R36" s="3">
        <v>34983</v>
      </c>
      <c r="S36" s="3">
        <v>423</v>
      </c>
      <c r="T36" s="3">
        <v>982711</v>
      </c>
      <c r="U36" s="3">
        <v>62290</v>
      </c>
      <c r="V36" s="3">
        <v>0</v>
      </c>
      <c r="W36" s="3">
        <v>0</v>
      </c>
      <c r="X36" s="3">
        <v>0</v>
      </c>
      <c r="AA36" t="s">
        <v>51</v>
      </c>
      <c r="AB36" s="3">
        <v>476000</v>
      </c>
      <c r="AC36" s="3">
        <v>39193.450000000004</v>
      </c>
      <c r="AD36" s="3">
        <v>20411.724999999999</v>
      </c>
      <c r="AE36" s="3">
        <v>18781.725000000006</v>
      </c>
      <c r="AF36" s="3">
        <v>92.014393687941649</v>
      </c>
      <c r="AG36" s="3">
        <v>47.920570911721228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s="3">
        <v>2064.6</v>
      </c>
      <c r="AO36" s="3">
        <v>45421.2</v>
      </c>
      <c r="AP36" s="3">
        <v>39712.68</v>
      </c>
      <c r="AQ36" s="3">
        <v>5708.5199999999968</v>
      </c>
      <c r="AR36" s="3">
        <v>14.374552409960739</v>
      </c>
      <c r="AS36" s="3">
        <v>12.567963858286433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</row>
    <row r="37" spans="1:51" hidden="1" x14ac:dyDescent="0.2">
      <c r="A37">
        <v>36</v>
      </c>
      <c r="B37" s="4">
        <v>46058</v>
      </c>
      <c r="C37" s="3"/>
      <c r="D37" s="3"/>
      <c r="E37" s="3">
        <v>4058.8</v>
      </c>
      <c r="F37" s="3">
        <v>428192.39999999997</v>
      </c>
      <c r="G37" s="3">
        <v>8</v>
      </c>
      <c r="H37" s="3">
        <v>30900</v>
      </c>
      <c r="I37" s="3">
        <v>286134</v>
      </c>
      <c r="J37" s="3">
        <v>49</v>
      </c>
      <c r="K37" s="3">
        <v>72566</v>
      </c>
      <c r="L37" s="3">
        <v>164327</v>
      </c>
      <c r="M37" s="3">
        <v>8</v>
      </c>
      <c r="N37" s="3">
        <v>10240</v>
      </c>
      <c r="O37" s="3">
        <v>31073</v>
      </c>
      <c r="P37" s="3">
        <v>180</v>
      </c>
      <c r="Q37" s="3">
        <v>16</v>
      </c>
      <c r="R37" s="3">
        <v>61461</v>
      </c>
      <c r="S37" s="3">
        <v>497</v>
      </c>
      <c r="T37" s="3">
        <v>414109</v>
      </c>
      <c r="U37" s="3">
        <v>73169</v>
      </c>
      <c r="V37" s="3">
        <v>7991</v>
      </c>
      <c r="W37" s="3">
        <v>1.74</v>
      </c>
      <c r="X37" s="3">
        <v>0.36</v>
      </c>
      <c r="AA37" t="s">
        <v>51</v>
      </c>
      <c r="AB37" s="3">
        <v>437195</v>
      </c>
      <c r="AC37" s="3">
        <v>97409.659999999989</v>
      </c>
      <c r="AD37" s="3">
        <v>66221.777136999997</v>
      </c>
      <c r="AE37" s="3">
        <v>31187.882862999992</v>
      </c>
      <c r="AF37" s="3">
        <v>47.09611280663507</v>
      </c>
      <c r="AG37" s="3">
        <v>32.017238190750277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1026.76</v>
      </c>
      <c r="AU37" s="3">
        <v>31214.519999999997</v>
      </c>
      <c r="AV37" s="3">
        <v>0</v>
      </c>
      <c r="AW37" s="3">
        <v>31214.519999999997</v>
      </c>
      <c r="AX37" s="3">
        <v>0</v>
      </c>
      <c r="AY37" s="3">
        <v>100</v>
      </c>
    </row>
    <row r="38" spans="1:51" hidden="1" x14ac:dyDescent="0.2">
      <c r="A38">
        <v>37</v>
      </c>
      <c r="B38" s="4">
        <v>46059</v>
      </c>
      <c r="C38" s="3">
        <v>100</v>
      </c>
      <c r="D38" s="3">
        <v>8525</v>
      </c>
      <c r="E38" s="3">
        <v>40</v>
      </c>
      <c r="F38" s="3">
        <v>3780</v>
      </c>
      <c r="G38" s="3">
        <v>6</v>
      </c>
      <c r="H38" s="3">
        <v>24580</v>
      </c>
      <c r="I38" s="3">
        <v>227611</v>
      </c>
      <c r="J38" s="3">
        <v>99</v>
      </c>
      <c r="K38" s="3">
        <v>134195</v>
      </c>
      <c r="L38" s="3">
        <v>460281</v>
      </c>
      <c r="M38" s="3">
        <v>15</v>
      </c>
      <c r="N38" s="3">
        <v>19535</v>
      </c>
      <c r="O38" s="3">
        <v>65538</v>
      </c>
      <c r="P38" s="3">
        <v>615</v>
      </c>
      <c r="Q38" s="3">
        <v>12</v>
      </c>
      <c r="R38" s="3">
        <v>57901</v>
      </c>
      <c r="S38" s="3">
        <v>600</v>
      </c>
      <c r="T38" s="3">
        <v>855232</v>
      </c>
      <c r="U38" s="3">
        <v>83862</v>
      </c>
      <c r="V38" s="3">
        <v>138860</v>
      </c>
      <c r="W38" s="3">
        <v>12.51</v>
      </c>
      <c r="X38" s="3">
        <v>7.54</v>
      </c>
      <c r="AA38" t="s">
        <v>51</v>
      </c>
      <c r="AB38" s="3">
        <v>420760</v>
      </c>
      <c r="AC38" s="3">
        <v>98613.23000000001</v>
      </c>
      <c r="AD38" s="3">
        <v>75581.424309999988</v>
      </c>
      <c r="AE38" s="3">
        <v>23031.805690000023</v>
      </c>
      <c r="AF38" s="3">
        <v>30.472838928695268</v>
      </c>
      <c r="AG38" s="3">
        <v>23.355695468042189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s="3">
        <v>4439.84</v>
      </c>
      <c r="AO38" s="3">
        <v>105117.61</v>
      </c>
      <c r="AP38" s="3">
        <v>84514.580000000016</v>
      </c>
      <c r="AQ38" s="3">
        <v>20603.029999999984</v>
      </c>
      <c r="AR38" s="3">
        <v>24.378077723393975</v>
      </c>
      <c r="AS38" s="3">
        <v>19.599979489640205</v>
      </c>
      <c r="AT38" s="3">
        <v>309</v>
      </c>
      <c r="AU38" s="3">
        <v>6798</v>
      </c>
      <c r="AV38" s="3">
        <v>0</v>
      </c>
      <c r="AW38" s="3">
        <v>6798</v>
      </c>
      <c r="AX38" s="3">
        <v>0</v>
      </c>
      <c r="AY38" s="3">
        <v>100</v>
      </c>
    </row>
    <row r="39" spans="1:51" hidden="1" x14ac:dyDescent="0.2">
      <c r="A39">
        <v>38</v>
      </c>
      <c r="B39" s="4">
        <v>46060</v>
      </c>
      <c r="C39" s="3"/>
      <c r="D39" s="3"/>
      <c r="E39" s="3">
        <v>4506.3999999999996</v>
      </c>
      <c r="F39" s="3">
        <v>573985.19999999995</v>
      </c>
      <c r="G39" s="3">
        <v>16</v>
      </c>
      <c r="H39" s="3">
        <v>58200</v>
      </c>
      <c r="I39" s="3">
        <v>556773</v>
      </c>
      <c r="J39" s="3">
        <v>84</v>
      </c>
      <c r="K39" s="3">
        <v>112175</v>
      </c>
      <c r="L39" s="3">
        <v>418911</v>
      </c>
      <c r="M39" s="3">
        <v>21</v>
      </c>
      <c r="N39" s="3">
        <v>28340</v>
      </c>
      <c r="O39" s="3">
        <v>124250</v>
      </c>
      <c r="P39" s="3">
        <v>555</v>
      </c>
      <c r="Q39" s="3">
        <v>16</v>
      </c>
      <c r="R39" s="3">
        <v>41264</v>
      </c>
      <c r="S39" s="3">
        <v>580</v>
      </c>
      <c r="T39" s="3">
        <v>1180430</v>
      </c>
      <c r="U39" s="3">
        <v>131424</v>
      </c>
      <c r="V39" s="3">
        <v>-776</v>
      </c>
      <c r="W39" s="3">
        <v>0</v>
      </c>
      <c r="X39" s="3">
        <v>6.56</v>
      </c>
      <c r="AA39" t="s">
        <v>51</v>
      </c>
      <c r="AB39" s="3">
        <v>1058160</v>
      </c>
      <c r="AC39" s="3">
        <v>165053.10000000003</v>
      </c>
      <c r="AD39" s="3">
        <v>126961.70356000001</v>
      </c>
      <c r="AE39" s="3">
        <v>38091.396440000026</v>
      </c>
      <c r="AF39" s="3">
        <v>30.002272631761485</v>
      </c>
      <c r="AG39" s="3">
        <v>23.078267805936402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s="3">
        <v>19831.719999999994</v>
      </c>
      <c r="AO39" s="3">
        <v>475099.18000000005</v>
      </c>
      <c r="AP39" s="3">
        <v>399440.61499999987</v>
      </c>
      <c r="AQ39" s="3">
        <v>75658.565000000177</v>
      </c>
      <c r="AR39" s="3">
        <v>18.941129709606571</v>
      </c>
      <c r="AS39" s="3">
        <v>15.924793850412492</v>
      </c>
      <c r="AT39" s="3">
        <v>728.5</v>
      </c>
      <c r="AU39" s="3">
        <v>20392.5</v>
      </c>
      <c r="AV39" s="3">
        <v>0</v>
      </c>
      <c r="AW39" s="3">
        <v>20392.5</v>
      </c>
      <c r="AX39" s="3">
        <v>0</v>
      </c>
      <c r="AY39" s="3">
        <v>100</v>
      </c>
    </row>
    <row r="40" spans="1:51" hidden="1" x14ac:dyDescent="0.2">
      <c r="A40">
        <v>39</v>
      </c>
      <c r="B40" s="4">
        <v>46061</v>
      </c>
      <c r="C40" s="3"/>
      <c r="D40" s="3"/>
      <c r="E40" s="3">
        <v>0</v>
      </c>
      <c r="F40" s="3">
        <v>0</v>
      </c>
      <c r="G40" s="3"/>
      <c r="H40" s="3"/>
      <c r="I40" s="3"/>
      <c r="J40" s="3">
        <v>60</v>
      </c>
      <c r="K40" s="3">
        <v>73080</v>
      </c>
      <c r="L40" s="3">
        <v>176429</v>
      </c>
      <c r="M40" s="3"/>
      <c r="N40" s="3"/>
      <c r="O40" s="3"/>
      <c r="P40" s="3"/>
      <c r="Q40" s="3"/>
      <c r="R40" s="3"/>
      <c r="S40" s="3"/>
      <c r="T40" s="3"/>
      <c r="U40" s="3"/>
      <c r="V40" s="3">
        <v>0</v>
      </c>
      <c r="W40" s="3">
        <v>0</v>
      </c>
      <c r="X40" s="3">
        <v>0</v>
      </c>
      <c r="AA40" t="s">
        <v>51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</row>
    <row r="41" spans="1:51" hidden="1" x14ac:dyDescent="0.2">
      <c r="A41">
        <v>40</v>
      </c>
      <c r="B41" s="4">
        <v>46062</v>
      </c>
      <c r="C41" s="3">
        <v>10397</v>
      </c>
      <c r="D41" s="3">
        <v>1563851.61</v>
      </c>
      <c r="E41" s="3">
        <v>2033</v>
      </c>
      <c r="F41" s="3">
        <v>257509.2</v>
      </c>
      <c r="G41" s="3">
        <v>7</v>
      </c>
      <c r="H41" s="3">
        <v>25850</v>
      </c>
      <c r="I41" s="3">
        <v>233002</v>
      </c>
      <c r="J41" s="3">
        <v>82</v>
      </c>
      <c r="K41" s="3">
        <v>110523</v>
      </c>
      <c r="L41" s="3">
        <v>291499</v>
      </c>
      <c r="M41" s="3">
        <v>25</v>
      </c>
      <c r="N41" s="3">
        <v>33238</v>
      </c>
      <c r="O41" s="3">
        <v>86613</v>
      </c>
      <c r="P41" s="3">
        <v>317</v>
      </c>
      <c r="Q41" s="3">
        <v>22</v>
      </c>
      <c r="R41" s="3">
        <v>49659</v>
      </c>
      <c r="S41" s="3">
        <v>406</v>
      </c>
      <c r="T41" s="3">
        <v>1741308</v>
      </c>
      <c r="U41" s="3">
        <v>92803</v>
      </c>
      <c r="V41" s="3">
        <v>1641</v>
      </c>
      <c r="W41" s="3">
        <v>0.08</v>
      </c>
      <c r="X41" s="3">
        <v>2.58</v>
      </c>
      <c r="AA41" t="s">
        <v>51</v>
      </c>
      <c r="AB41" s="3">
        <v>760168</v>
      </c>
      <c r="AC41" s="3">
        <v>52980.25</v>
      </c>
      <c r="AD41" s="3">
        <v>41974.962960000004</v>
      </c>
      <c r="AE41" s="3">
        <v>11005.287039999996</v>
      </c>
      <c r="AF41" s="3">
        <v>26.218693868741401</v>
      </c>
      <c r="AG41" s="3">
        <v>20.772433199163832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s="3">
        <v>10134.079999999996</v>
      </c>
      <c r="AO41" s="3">
        <v>226323.11999999997</v>
      </c>
      <c r="AP41" s="3">
        <v>191918.11999999997</v>
      </c>
      <c r="AQ41" s="3">
        <v>34405</v>
      </c>
      <c r="AR41" s="3">
        <v>17.926915916016689</v>
      </c>
      <c r="AS41" s="3">
        <v>15.201716908109081</v>
      </c>
      <c r="AT41" s="3">
        <v>684.38</v>
      </c>
      <c r="AU41" s="3">
        <v>16712.36</v>
      </c>
      <c r="AV41" s="3">
        <v>0</v>
      </c>
      <c r="AW41" s="3">
        <v>16712.36</v>
      </c>
      <c r="AX41" s="3">
        <v>0</v>
      </c>
      <c r="AY41" s="3">
        <v>100</v>
      </c>
    </row>
    <row r="42" spans="1:51" hidden="1" x14ac:dyDescent="0.2">
      <c r="A42">
        <v>41</v>
      </c>
      <c r="B42" s="4">
        <v>46063</v>
      </c>
      <c r="C42" s="3"/>
      <c r="D42" s="3"/>
      <c r="E42" s="3">
        <v>15598</v>
      </c>
      <c r="F42" s="3">
        <v>317398.25</v>
      </c>
      <c r="G42" s="3">
        <v>9</v>
      </c>
      <c r="H42" s="3">
        <v>28750</v>
      </c>
      <c r="I42" s="3">
        <v>279162</v>
      </c>
      <c r="J42" s="3">
        <v>61</v>
      </c>
      <c r="K42" s="3">
        <v>87810</v>
      </c>
      <c r="L42" s="3">
        <v>197072</v>
      </c>
      <c r="M42" s="3">
        <v>12</v>
      </c>
      <c r="N42" s="3">
        <v>15890</v>
      </c>
      <c r="O42" s="3">
        <v>44557</v>
      </c>
      <c r="P42" s="3">
        <v>195</v>
      </c>
      <c r="Q42" s="3">
        <v>27</v>
      </c>
      <c r="R42" s="3">
        <v>73441</v>
      </c>
      <c r="S42" s="3">
        <v>395</v>
      </c>
      <c r="T42" s="3">
        <v>1393450</v>
      </c>
      <c r="U42" s="3">
        <v>73888</v>
      </c>
      <c r="V42" s="3">
        <v>0</v>
      </c>
      <c r="W42" s="3">
        <v>0</v>
      </c>
      <c r="X42" s="3">
        <v>3.85</v>
      </c>
      <c r="AA42" t="s">
        <v>51</v>
      </c>
      <c r="AB42" s="3">
        <v>925800</v>
      </c>
      <c r="AC42" s="3">
        <v>104924.95999999999</v>
      </c>
      <c r="AD42" s="3">
        <v>60261.292000000001</v>
      </c>
      <c r="AE42" s="3">
        <v>44663.667999999991</v>
      </c>
      <c r="AF42" s="3">
        <v>74.116678414395736</v>
      </c>
      <c r="AG42" s="3">
        <v>42.567248059946841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s="3">
        <v>12020.249999999998</v>
      </c>
      <c r="AO42" s="3">
        <v>269348.77</v>
      </c>
      <c r="AP42" s="3">
        <v>229229.07800000004</v>
      </c>
      <c r="AQ42" s="3">
        <v>40119.691999999981</v>
      </c>
      <c r="AR42" s="3">
        <v>17.502008187634893</v>
      </c>
      <c r="AS42" s="3">
        <v>14.895071546085017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</row>
    <row r="43" spans="1:51" hidden="1" x14ac:dyDescent="0.2">
      <c r="A43">
        <v>42</v>
      </c>
      <c r="B43" s="4">
        <v>46064</v>
      </c>
      <c r="C43" s="3"/>
      <c r="D43" s="3"/>
      <c r="E43" s="3">
        <v>1698</v>
      </c>
      <c r="F43" s="3">
        <v>186206.38</v>
      </c>
      <c r="G43" s="3">
        <v>8</v>
      </c>
      <c r="H43" s="3">
        <v>28430</v>
      </c>
      <c r="I43" s="3">
        <v>276054</v>
      </c>
      <c r="J43" s="3">
        <v>83</v>
      </c>
      <c r="K43" s="3">
        <v>107805</v>
      </c>
      <c r="L43" s="3">
        <v>317910</v>
      </c>
      <c r="M43" s="3">
        <v>13</v>
      </c>
      <c r="N43" s="3">
        <v>17440</v>
      </c>
      <c r="O43" s="3">
        <v>96762</v>
      </c>
      <c r="P43" s="3">
        <v>415</v>
      </c>
      <c r="Q43" s="3">
        <v>16</v>
      </c>
      <c r="R43" s="3">
        <v>48806</v>
      </c>
      <c r="S43" s="3">
        <v>298</v>
      </c>
      <c r="T43" s="3">
        <v>1176564</v>
      </c>
      <c r="U43" s="3">
        <v>99970</v>
      </c>
      <c r="V43" s="3">
        <v>7758</v>
      </c>
      <c r="W43" s="3">
        <v>0.59</v>
      </c>
      <c r="X43" s="3">
        <v>0</v>
      </c>
      <c r="AA43" t="s">
        <v>51</v>
      </c>
      <c r="AB43" s="3">
        <v>2259155</v>
      </c>
      <c r="AC43" s="3">
        <v>270729.59999999998</v>
      </c>
      <c r="AD43" s="3">
        <v>168947.37432999996</v>
      </c>
      <c r="AE43" s="3">
        <v>101782.22567000001</v>
      </c>
      <c r="AF43" s="3">
        <v>60.2449289748604</v>
      </c>
      <c r="AG43" s="3">
        <v>37.595529144208847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s="3">
        <v>13358.21</v>
      </c>
      <c r="AO43" s="3">
        <v>298756.95000000013</v>
      </c>
      <c r="AP43" s="3">
        <v>252698.58999999994</v>
      </c>
      <c r="AQ43" s="3">
        <v>46058.36000000019</v>
      </c>
      <c r="AR43" s="3">
        <v>18.226599523171142</v>
      </c>
      <c r="AS43" s="3">
        <v>15.416665620665954</v>
      </c>
      <c r="AT43" s="3">
        <v>2</v>
      </c>
      <c r="AU43" s="3">
        <v>1400</v>
      </c>
      <c r="AV43" s="3">
        <v>0</v>
      </c>
      <c r="AW43" s="3">
        <v>1400</v>
      </c>
      <c r="AX43" s="3">
        <v>0</v>
      </c>
      <c r="AY43" s="3">
        <v>100</v>
      </c>
    </row>
    <row r="44" spans="1:51" hidden="1" x14ac:dyDescent="0.2">
      <c r="A44">
        <v>43</v>
      </c>
      <c r="B44" s="4">
        <v>46065</v>
      </c>
      <c r="C44" s="3">
        <v>12370</v>
      </c>
      <c r="D44" s="3">
        <v>58782.239999999998</v>
      </c>
      <c r="E44" s="3">
        <v>70497.3</v>
      </c>
      <c r="F44" s="3">
        <v>507822.56599999993</v>
      </c>
      <c r="G44" s="3">
        <v>10</v>
      </c>
      <c r="H44" s="3">
        <v>28590</v>
      </c>
      <c r="I44" s="3">
        <v>363782</v>
      </c>
      <c r="J44" s="3">
        <v>103</v>
      </c>
      <c r="K44" s="3">
        <v>130713</v>
      </c>
      <c r="L44" s="3">
        <v>283956</v>
      </c>
      <c r="M44" s="3">
        <v>12</v>
      </c>
      <c r="N44" s="3">
        <v>16600</v>
      </c>
      <c r="O44" s="3">
        <v>40761</v>
      </c>
      <c r="P44" s="3">
        <v>197</v>
      </c>
      <c r="Q44" s="3">
        <v>11</v>
      </c>
      <c r="R44" s="3">
        <v>62403</v>
      </c>
      <c r="S44" s="3">
        <v>500</v>
      </c>
      <c r="T44" s="3">
        <v>2249587</v>
      </c>
      <c r="U44" s="3">
        <v>109197</v>
      </c>
      <c r="V44" s="3">
        <v>13712</v>
      </c>
      <c r="W44" s="3">
        <v>0.57999999999999996</v>
      </c>
      <c r="X44" s="3">
        <v>3.73</v>
      </c>
      <c r="AA44" t="s">
        <v>51</v>
      </c>
      <c r="AB44" s="3">
        <v>1351250</v>
      </c>
      <c r="AC44" s="3">
        <v>145574.59999999998</v>
      </c>
      <c r="AD44" s="3">
        <v>78422.612409999987</v>
      </c>
      <c r="AE44" s="3">
        <v>67151.98758999999</v>
      </c>
      <c r="AF44" s="3">
        <v>85.628348159232146</v>
      </c>
      <c r="AG44" s="3">
        <v>46.128917812585435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s="3">
        <v>18005.759999999995</v>
      </c>
      <c r="AO44" s="3">
        <v>398895.58999999979</v>
      </c>
      <c r="AP44" s="3">
        <v>343126.54799999984</v>
      </c>
      <c r="AQ44" s="3">
        <v>55769.041999999958</v>
      </c>
      <c r="AR44" s="3">
        <v>16.253199388116126</v>
      </c>
      <c r="AS44" s="3">
        <v>13.98086200952986</v>
      </c>
      <c r="AT44" s="3">
        <v>18</v>
      </c>
      <c r="AU44" s="3">
        <v>12699.9</v>
      </c>
      <c r="AV44" s="3">
        <v>0</v>
      </c>
      <c r="AW44" s="3">
        <v>12699.9</v>
      </c>
      <c r="AX44" s="3">
        <v>0</v>
      </c>
      <c r="AY44" s="3">
        <v>100</v>
      </c>
    </row>
    <row r="45" spans="1:51" hidden="1" x14ac:dyDescent="0.2">
      <c r="A45">
        <v>44</v>
      </c>
      <c r="B45" s="4">
        <v>46066</v>
      </c>
      <c r="C45" s="3"/>
      <c r="D45" s="3"/>
      <c r="E45" s="3">
        <v>28464.799999999999</v>
      </c>
      <c r="F45" s="3">
        <v>318297.30000000005</v>
      </c>
      <c r="G45" s="3">
        <v>8</v>
      </c>
      <c r="H45" s="3">
        <v>29600</v>
      </c>
      <c r="I45" s="3">
        <v>274096</v>
      </c>
      <c r="J45" s="3">
        <v>56</v>
      </c>
      <c r="K45" s="3">
        <v>78983</v>
      </c>
      <c r="L45" s="3">
        <v>261519</v>
      </c>
      <c r="M45" s="3">
        <v>8</v>
      </c>
      <c r="N45" s="3">
        <v>10735</v>
      </c>
      <c r="O45" s="3">
        <v>32149</v>
      </c>
      <c r="P45" s="3">
        <v>375</v>
      </c>
      <c r="Q45" s="3">
        <v>9</v>
      </c>
      <c r="R45" s="3">
        <v>34234</v>
      </c>
      <c r="S45" s="3">
        <v>253</v>
      </c>
      <c r="T45" s="3">
        <v>1202905</v>
      </c>
      <c r="U45" s="3">
        <v>51882</v>
      </c>
      <c r="V45" s="3">
        <v>-1545</v>
      </c>
      <c r="W45" s="3">
        <v>0</v>
      </c>
      <c r="X45" s="3">
        <v>3.38</v>
      </c>
      <c r="AA45" t="s">
        <v>51</v>
      </c>
      <c r="AB45" s="3">
        <v>1662501</v>
      </c>
      <c r="AC45" s="3">
        <v>182177.82000000004</v>
      </c>
      <c r="AD45" s="3">
        <v>144966.84873799994</v>
      </c>
      <c r="AE45" s="3">
        <v>37210.971262000094</v>
      </c>
      <c r="AF45" s="3">
        <v>25.668607399510947</v>
      </c>
      <c r="AG45" s="3">
        <v>20.425632089570556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2234.66</v>
      </c>
      <c r="AU45" s="3">
        <v>67742.820000000007</v>
      </c>
      <c r="AV45" s="3">
        <v>0</v>
      </c>
      <c r="AW45" s="3">
        <v>67742.820000000007</v>
      </c>
      <c r="AX45" s="3">
        <v>0</v>
      </c>
      <c r="AY45" s="3">
        <v>100</v>
      </c>
    </row>
    <row r="46" spans="1:51" hidden="1" x14ac:dyDescent="0.2">
      <c r="A46">
        <v>45</v>
      </c>
      <c r="B46" s="4">
        <v>46067</v>
      </c>
      <c r="C46" s="3">
        <v>150</v>
      </c>
      <c r="D46" s="3">
        <v>58950</v>
      </c>
      <c r="E46" s="3">
        <v>2367</v>
      </c>
      <c r="F46" s="3">
        <v>274780.55000000005</v>
      </c>
      <c r="G46" s="3">
        <v>9</v>
      </c>
      <c r="H46" s="3">
        <v>30600</v>
      </c>
      <c r="I46" s="3">
        <v>270623</v>
      </c>
      <c r="J46" s="3">
        <v>57</v>
      </c>
      <c r="K46" s="3">
        <v>56385</v>
      </c>
      <c r="L46" s="3">
        <v>162812</v>
      </c>
      <c r="M46" s="3">
        <v>17</v>
      </c>
      <c r="N46" s="3">
        <v>25087</v>
      </c>
      <c r="O46" s="3">
        <v>76351</v>
      </c>
      <c r="P46" s="3">
        <v>318</v>
      </c>
      <c r="Q46" s="3">
        <v>18</v>
      </c>
      <c r="R46" s="3">
        <v>72006</v>
      </c>
      <c r="S46" s="3">
        <v>831</v>
      </c>
      <c r="T46" s="3">
        <v>1183350</v>
      </c>
      <c r="U46" s="3">
        <v>110817</v>
      </c>
      <c r="V46" s="3">
        <v>-5601</v>
      </c>
      <c r="W46" s="3">
        <v>0</v>
      </c>
      <c r="X46" s="3">
        <v>2.2599999999999998</v>
      </c>
      <c r="AA46" t="s">
        <v>51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</row>
    <row r="47" spans="1:51" hidden="1" x14ac:dyDescent="0.2">
      <c r="A47">
        <v>46</v>
      </c>
      <c r="B47" s="4">
        <v>46068</v>
      </c>
      <c r="C47" s="3"/>
      <c r="D47" s="3"/>
      <c r="E47" s="3">
        <v>0</v>
      </c>
      <c r="F47" s="3">
        <v>0</v>
      </c>
      <c r="G47" s="3"/>
      <c r="H47" s="3"/>
      <c r="I47" s="3"/>
      <c r="J47" s="3"/>
      <c r="K47" s="3"/>
      <c r="L47" s="3"/>
      <c r="M47" s="3">
        <v>2</v>
      </c>
      <c r="N47" s="3">
        <v>2310</v>
      </c>
      <c r="O47" s="3">
        <v>11664</v>
      </c>
      <c r="P47" s="3">
        <v>53</v>
      </c>
      <c r="Q47" s="3"/>
      <c r="R47" s="3"/>
      <c r="S47" s="3"/>
      <c r="T47" s="3"/>
      <c r="U47" s="3"/>
      <c r="V47" s="3">
        <v>0</v>
      </c>
      <c r="W47" s="3">
        <v>0</v>
      </c>
      <c r="X47" s="3">
        <v>0</v>
      </c>
      <c r="AA47" t="s">
        <v>51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</row>
    <row r="48" spans="1:51" hidden="1" x14ac:dyDescent="0.2">
      <c r="A48">
        <v>47</v>
      </c>
      <c r="B48" s="4">
        <v>46069</v>
      </c>
      <c r="C48" s="3">
        <v>32</v>
      </c>
      <c r="D48" s="3">
        <v>0</v>
      </c>
      <c r="E48" s="3">
        <v>2282</v>
      </c>
      <c r="F48" s="3">
        <v>288488.12</v>
      </c>
      <c r="G48" s="3">
        <v>7</v>
      </c>
      <c r="H48" s="3">
        <v>24690</v>
      </c>
      <c r="I48" s="3">
        <v>236129</v>
      </c>
      <c r="J48" s="3">
        <v>60</v>
      </c>
      <c r="K48" s="3">
        <v>85970</v>
      </c>
      <c r="L48" s="3">
        <v>203690</v>
      </c>
      <c r="M48" s="3">
        <v>22</v>
      </c>
      <c r="N48" s="3">
        <v>28335</v>
      </c>
      <c r="O48" s="3">
        <v>87460</v>
      </c>
      <c r="P48" s="3">
        <v>958</v>
      </c>
      <c r="Q48" s="3">
        <v>11</v>
      </c>
      <c r="R48" s="3">
        <v>35530</v>
      </c>
      <c r="S48" s="3">
        <v>520</v>
      </c>
      <c r="T48" s="3">
        <v>1376370</v>
      </c>
      <c r="U48" s="3">
        <v>90835</v>
      </c>
      <c r="V48" s="3">
        <v>-27144</v>
      </c>
      <c r="W48" s="3">
        <v>0</v>
      </c>
      <c r="X48" s="3">
        <v>3.01</v>
      </c>
      <c r="AA48" t="s">
        <v>51</v>
      </c>
      <c r="AB48" s="3">
        <v>1008020</v>
      </c>
      <c r="AC48" s="3">
        <v>47625.33</v>
      </c>
      <c r="AD48" s="3">
        <v>32575.337460000002</v>
      </c>
      <c r="AE48" s="3">
        <v>15049.992539999999</v>
      </c>
      <c r="AF48" s="3">
        <v>46.200572928769276</v>
      </c>
      <c r="AG48" s="3">
        <v>31.600815238445591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s="3">
        <v>14455.720000000001</v>
      </c>
      <c r="AO48" s="3">
        <v>312792.14000000007</v>
      </c>
      <c r="AP48" s="3">
        <v>269066.8899999999</v>
      </c>
      <c r="AQ48" s="3">
        <v>43725.250000000175</v>
      </c>
      <c r="AR48" s="3">
        <v>16.250698850386307</v>
      </c>
      <c r="AS48" s="3">
        <v>13.979011748824687</v>
      </c>
      <c r="AT48" s="3">
        <v>480.2</v>
      </c>
      <c r="AU48" s="3">
        <v>14960.400000000001</v>
      </c>
      <c r="AV48" s="3">
        <v>0</v>
      </c>
      <c r="AW48" s="3">
        <v>14960.400000000001</v>
      </c>
      <c r="AX48" s="3">
        <v>0</v>
      </c>
      <c r="AY48" s="3">
        <v>100</v>
      </c>
    </row>
    <row r="49" spans="1:51" hidden="1" x14ac:dyDescent="0.2">
      <c r="A49">
        <v>48</v>
      </c>
      <c r="B49" s="4">
        <v>46070</v>
      </c>
      <c r="C49" s="3">
        <v>1968.6</v>
      </c>
      <c r="D49" s="3">
        <v>493195.1</v>
      </c>
      <c r="E49" s="3">
        <v>15387.1</v>
      </c>
      <c r="F49" s="3">
        <v>525369.39899999998</v>
      </c>
      <c r="G49" s="3">
        <v>10</v>
      </c>
      <c r="H49" s="3">
        <v>31270</v>
      </c>
      <c r="I49" s="3">
        <v>304585</v>
      </c>
      <c r="J49" s="3">
        <v>84</v>
      </c>
      <c r="K49" s="3">
        <v>127687</v>
      </c>
      <c r="L49" s="3">
        <v>347012</v>
      </c>
      <c r="M49" s="3">
        <v>14</v>
      </c>
      <c r="N49" s="3">
        <v>18346</v>
      </c>
      <c r="O49" s="3">
        <v>59990</v>
      </c>
      <c r="P49" s="3">
        <v>279</v>
      </c>
      <c r="Q49" s="3">
        <v>12</v>
      </c>
      <c r="R49" s="3">
        <v>55947</v>
      </c>
      <c r="S49" s="3">
        <v>252</v>
      </c>
      <c r="T49" s="3">
        <v>1215650</v>
      </c>
      <c r="U49" s="3">
        <v>75726</v>
      </c>
      <c r="V49" s="3">
        <v>-10200</v>
      </c>
      <c r="W49" s="3">
        <v>0</v>
      </c>
      <c r="X49" s="3">
        <v>6.37</v>
      </c>
      <c r="AA49" t="s">
        <v>51</v>
      </c>
      <c r="AB49" s="3">
        <v>2167790</v>
      </c>
      <c r="AC49" s="3">
        <v>375940.14</v>
      </c>
      <c r="AD49" s="3">
        <v>169064.08588499998</v>
      </c>
      <c r="AE49" s="3">
        <v>206876.05411500004</v>
      </c>
      <c r="AF49" s="3">
        <v>122.36546457047083</v>
      </c>
      <c r="AG49" s="3">
        <v>55.028987890199765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s="3">
        <v>10213.299999999999</v>
      </c>
      <c r="AO49" s="3">
        <v>225997.09</v>
      </c>
      <c r="AP49" s="3">
        <v>191664.611</v>
      </c>
      <c r="AQ49" s="3">
        <v>34332.478999999992</v>
      </c>
      <c r="AR49" s="3">
        <v>17.912789857695739</v>
      </c>
      <c r="AS49" s="3">
        <v>15.191557997494568</v>
      </c>
      <c r="AT49" s="3">
        <v>2</v>
      </c>
      <c r="AU49" s="3">
        <v>1700</v>
      </c>
      <c r="AV49" s="3">
        <v>0</v>
      </c>
      <c r="AW49" s="3">
        <v>1700</v>
      </c>
      <c r="AX49" s="3">
        <v>0</v>
      </c>
      <c r="AY49" s="3">
        <v>100</v>
      </c>
    </row>
    <row r="50" spans="1:51" hidden="1" x14ac:dyDescent="0.2">
      <c r="A50">
        <v>49</v>
      </c>
      <c r="B50" s="4">
        <v>46071</v>
      </c>
      <c r="C50" s="3">
        <v>7458</v>
      </c>
      <c r="D50" s="3">
        <v>635842.74</v>
      </c>
      <c r="E50" s="3">
        <v>1448.76</v>
      </c>
      <c r="F50" s="3">
        <v>310431.99600000004</v>
      </c>
      <c r="G50" s="3">
        <v>11</v>
      </c>
      <c r="H50" s="3">
        <v>28330</v>
      </c>
      <c r="I50" s="3">
        <v>337409</v>
      </c>
      <c r="J50" s="3">
        <v>109</v>
      </c>
      <c r="K50" s="3">
        <v>120810</v>
      </c>
      <c r="L50" s="3">
        <v>402096</v>
      </c>
      <c r="M50" s="3">
        <v>16</v>
      </c>
      <c r="N50" s="3">
        <v>21570</v>
      </c>
      <c r="O50" s="3">
        <v>56774</v>
      </c>
      <c r="P50" s="3">
        <v>487</v>
      </c>
      <c r="Q50" s="3">
        <v>24</v>
      </c>
      <c r="R50" s="3">
        <v>83355</v>
      </c>
      <c r="S50" s="3">
        <v>530</v>
      </c>
      <c r="T50" s="3">
        <v>593163</v>
      </c>
      <c r="U50" s="3">
        <v>80684</v>
      </c>
      <c r="V50" s="3">
        <v>0</v>
      </c>
      <c r="W50" s="3">
        <v>0</v>
      </c>
      <c r="X50" s="3">
        <v>9.33</v>
      </c>
      <c r="AA50" t="s">
        <v>51</v>
      </c>
      <c r="AB50" s="3">
        <v>248790</v>
      </c>
      <c r="AC50" s="3">
        <v>134525.5</v>
      </c>
      <c r="AD50" s="3">
        <v>61594.227849999996</v>
      </c>
      <c r="AE50" s="3">
        <v>72931.272150000004</v>
      </c>
      <c r="AF50" s="3">
        <v>118.40601740736005</v>
      </c>
      <c r="AG50" s="3">
        <v>54.213715726758124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</row>
    <row r="51" spans="1:51" hidden="1" x14ac:dyDescent="0.2">
      <c r="A51">
        <v>50</v>
      </c>
      <c r="B51" s="4">
        <v>46072</v>
      </c>
      <c r="C51" s="3"/>
      <c r="D51" s="3"/>
      <c r="E51" s="3">
        <v>1926.02</v>
      </c>
      <c r="F51" s="3">
        <v>432147.91000000003</v>
      </c>
      <c r="G51" s="3">
        <v>8</v>
      </c>
      <c r="H51" s="3">
        <v>23640</v>
      </c>
      <c r="I51" s="3">
        <v>297353</v>
      </c>
      <c r="J51" s="3">
        <v>49</v>
      </c>
      <c r="K51" s="3">
        <v>72155</v>
      </c>
      <c r="L51" s="3">
        <v>262569</v>
      </c>
      <c r="M51" s="3">
        <v>15</v>
      </c>
      <c r="N51" s="3">
        <v>20596</v>
      </c>
      <c r="O51" s="3">
        <v>49294</v>
      </c>
      <c r="P51" s="3">
        <v>534</v>
      </c>
      <c r="Q51" s="3">
        <v>13</v>
      </c>
      <c r="R51" s="3">
        <v>44792</v>
      </c>
      <c r="S51" s="3">
        <v>854</v>
      </c>
      <c r="T51" s="3">
        <v>1347674</v>
      </c>
      <c r="U51" s="3">
        <v>136658</v>
      </c>
      <c r="V51" s="3">
        <v>190</v>
      </c>
      <c r="W51" s="3">
        <v>0.01</v>
      </c>
      <c r="X51" s="3">
        <v>8.2100000000000009</v>
      </c>
      <c r="AA51" t="s">
        <v>51</v>
      </c>
      <c r="AB51" s="3">
        <v>4282022</v>
      </c>
      <c r="AC51" s="3">
        <v>363725.02999999997</v>
      </c>
      <c r="AD51" s="3">
        <v>243714.33960699994</v>
      </c>
      <c r="AE51" s="3">
        <v>120010.69039300003</v>
      </c>
      <c r="AF51" s="3">
        <v>49.242359143299701</v>
      </c>
      <c r="AG51" s="3">
        <v>32.994894630430039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s="3">
        <v>9021.1</v>
      </c>
      <c r="AO51" s="3">
        <v>199264.2</v>
      </c>
      <c r="AP51" s="3">
        <v>172654.21999999994</v>
      </c>
      <c r="AQ51" s="3">
        <v>26609.980000000069</v>
      </c>
      <c r="AR51" s="3">
        <v>15.412296322673189</v>
      </c>
      <c r="AS51" s="3">
        <v>13.354119806769138</v>
      </c>
      <c r="AT51" s="3">
        <v>546</v>
      </c>
      <c r="AU51" s="3">
        <v>12012</v>
      </c>
      <c r="AV51" s="3">
        <v>0</v>
      </c>
      <c r="AW51" s="3">
        <v>12012</v>
      </c>
      <c r="AX51" s="3">
        <v>0</v>
      </c>
      <c r="AY51" s="3">
        <v>100</v>
      </c>
    </row>
    <row r="52" spans="1:51" hidden="1" x14ac:dyDescent="0.2">
      <c r="A52">
        <v>51</v>
      </c>
      <c r="B52" s="4">
        <v>46073</v>
      </c>
      <c r="C52" s="3">
        <v>4184</v>
      </c>
      <c r="D52" s="3">
        <v>506264</v>
      </c>
      <c r="E52" s="3">
        <v>2698.1</v>
      </c>
      <c r="F52" s="3">
        <v>390327.94</v>
      </c>
      <c r="G52" s="3">
        <v>9</v>
      </c>
      <c r="H52" s="3">
        <v>31550</v>
      </c>
      <c r="I52" s="3">
        <v>347295</v>
      </c>
      <c r="J52" s="3">
        <v>77</v>
      </c>
      <c r="K52" s="3">
        <v>96650</v>
      </c>
      <c r="L52" s="3">
        <v>254724</v>
      </c>
      <c r="M52" s="3">
        <v>13</v>
      </c>
      <c r="N52" s="3">
        <v>17003</v>
      </c>
      <c r="O52" s="3">
        <v>63173</v>
      </c>
      <c r="P52" s="3">
        <v>434</v>
      </c>
      <c r="Q52" s="3">
        <v>18</v>
      </c>
      <c r="R52" s="3">
        <v>77514</v>
      </c>
      <c r="S52" s="3">
        <v>411</v>
      </c>
      <c r="T52" s="3">
        <v>1497460</v>
      </c>
      <c r="U52" s="3">
        <v>88311</v>
      </c>
      <c r="V52" s="3">
        <v>0</v>
      </c>
      <c r="W52" s="3">
        <v>0</v>
      </c>
      <c r="X52" s="3">
        <v>0.76</v>
      </c>
      <c r="AA52" t="s">
        <v>51</v>
      </c>
      <c r="AB52" s="3">
        <v>2342350</v>
      </c>
      <c r="AC52" s="3">
        <v>316225.84999999998</v>
      </c>
      <c r="AD52" s="3">
        <v>175342.46757999997</v>
      </c>
      <c r="AE52" s="3">
        <v>140883.38242000001</v>
      </c>
      <c r="AF52" s="3">
        <v>80.347553199410754</v>
      </c>
      <c r="AG52" s="3">
        <v>44.551507228140906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s="3">
        <v>7401.1699999999992</v>
      </c>
      <c r="AO52" s="3">
        <v>172142.93999999994</v>
      </c>
      <c r="AP52" s="3">
        <v>141134.31</v>
      </c>
      <c r="AQ52" s="3">
        <v>31008.629999999946</v>
      </c>
      <c r="AR52" s="3">
        <v>21.971007616787119</v>
      </c>
      <c r="AS52" s="3">
        <v>18.013303362891303</v>
      </c>
      <c r="AT52" s="3">
        <v>551</v>
      </c>
      <c r="AU52" s="3">
        <v>12850</v>
      </c>
      <c r="AV52" s="3">
        <v>0</v>
      </c>
      <c r="AW52" s="3">
        <v>12850</v>
      </c>
      <c r="AX52" s="3">
        <v>0</v>
      </c>
      <c r="AY52" s="3">
        <v>100</v>
      </c>
    </row>
    <row r="53" spans="1:51" hidden="1" x14ac:dyDescent="0.2">
      <c r="A53">
        <v>52</v>
      </c>
      <c r="B53" s="4">
        <v>46074</v>
      </c>
      <c r="C53" s="3">
        <v>50</v>
      </c>
      <c r="D53" s="3">
        <v>6975</v>
      </c>
      <c r="E53" s="3">
        <v>2923</v>
      </c>
      <c r="F53" s="3">
        <v>342735.35999999999</v>
      </c>
      <c r="G53" s="3">
        <v>5</v>
      </c>
      <c r="H53" s="3">
        <v>20450</v>
      </c>
      <c r="I53" s="3">
        <v>205299</v>
      </c>
      <c r="J53" s="3">
        <v>28</v>
      </c>
      <c r="K53" s="3">
        <v>37410</v>
      </c>
      <c r="L53" s="3">
        <v>102416</v>
      </c>
      <c r="M53" s="3">
        <v>5</v>
      </c>
      <c r="N53" s="3">
        <v>6020</v>
      </c>
      <c r="O53" s="3">
        <v>16741</v>
      </c>
      <c r="P53" s="3">
        <v>78</v>
      </c>
      <c r="Q53" s="3">
        <v>5</v>
      </c>
      <c r="R53" s="3">
        <v>13919</v>
      </c>
      <c r="S53" s="3">
        <v>157</v>
      </c>
      <c r="T53" s="3">
        <v>885400</v>
      </c>
      <c r="U53" s="3">
        <v>66510</v>
      </c>
      <c r="V53" s="3">
        <v>1292</v>
      </c>
      <c r="W53" s="3">
        <v>0.14000000000000001</v>
      </c>
      <c r="X53" s="3">
        <v>3.9</v>
      </c>
      <c r="AA53" t="s">
        <v>51</v>
      </c>
      <c r="AB53" s="3">
        <v>938400</v>
      </c>
      <c r="AC53" s="3">
        <v>113341.45</v>
      </c>
      <c r="AD53" s="3">
        <v>73299.358300000007</v>
      </c>
      <c r="AE53" s="3">
        <v>40042.09169999999</v>
      </c>
      <c r="AF53" s="3">
        <v>54.628161321843372</v>
      </c>
      <c r="AG53" s="3">
        <v>35.32872722203571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3</v>
      </c>
      <c r="AU53" s="3">
        <v>2550</v>
      </c>
      <c r="AV53" s="3">
        <v>0</v>
      </c>
      <c r="AW53" s="3">
        <v>2550</v>
      </c>
      <c r="AX53" s="3">
        <v>0</v>
      </c>
      <c r="AY53" s="3">
        <v>100</v>
      </c>
    </row>
    <row r="54" spans="1:51" hidden="1" x14ac:dyDescent="0.2">
      <c r="A54">
        <v>53</v>
      </c>
      <c r="B54" s="4">
        <v>46075</v>
      </c>
      <c r="C54" s="3"/>
      <c r="D54" s="3"/>
      <c r="E54" s="3">
        <v>1130</v>
      </c>
      <c r="F54" s="3">
        <v>115056.23000000001</v>
      </c>
      <c r="G54" s="3">
        <v>8</v>
      </c>
      <c r="H54" s="3">
        <v>26860</v>
      </c>
      <c r="I54" s="3">
        <v>255437</v>
      </c>
      <c r="J54" s="3"/>
      <c r="K54" s="3"/>
      <c r="L54" s="3"/>
      <c r="M54" s="3"/>
      <c r="N54" s="3"/>
      <c r="O54" s="3"/>
      <c r="P54" s="3"/>
      <c r="Q54" s="3"/>
      <c r="R54" s="3"/>
      <c r="S54" s="3">
        <v>13</v>
      </c>
      <c r="T54" s="3">
        <v>55980</v>
      </c>
      <c r="U54" s="3">
        <v>3561</v>
      </c>
      <c r="V54" s="3">
        <v>57</v>
      </c>
      <c r="W54" s="3">
        <v>0.1</v>
      </c>
      <c r="X54" s="3">
        <v>0</v>
      </c>
      <c r="AA54" t="s">
        <v>51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</row>
    <row r="55" spans="1:51" hidden="1" x14ac:dyDescent="0.2">
      <c r="A55">
        <v>54</v>
      </c>
      <c r="B55" s="4">
        <v>46076</v>
      </c>
      <c r="C55" s="3">
        <v>3690</v>
      </c>
      <c r="D55" s="3">
        <v>173756</v>
      </c>
      <c r="E55" s="3">
        <v>4215</v>
      </c>
      <c r="F55" s="3">
        <v>208791.28999999998</v>
      </c>
      <c r="G55" s="3">
        <v>8</v>
      </c>
      <c r="H55" s="3">
        <v>31400</v>
      </c>
      <c r="I55" s="3">
        <v>298613</v>
      </c>
      <c r="J55" s="3">
        <v>78</v>
      </c>
      <c r="K55" s="3">
        <v>115460</v>
      </c>
      <c r="L55" s="3">
        <v>300369</v>
      </c>
      <c r="M55" s="3">
        <v>10</v>
      </c>
      <c r="N55" s="3">
        <v>13480</v>
      </c>
      <c r="O55" s="3">
        <v>40959</v>
      </c>
      <c r="P55" s="3">
        <v>265</v>
      </c>
      <c r="Q55" s="3">
        <v>11</v>
      </c>
      <c r="R55" s="3">
        <v>53598</v>
      </c>
      <c r="S55" s="3">
        <v>379</v>
      </c>
      <c r="T55" s="3">
        <v>1210290</v>
      </c>
      <c r="U55" s="3">
        <v>84523</v>
      </c>
      <c r="V55" s="3">
        <v>0</v>
      </c>
      <c r="W55" s="3">
        <v>0</v>
      </c>
      <c r="X55" s="3">
        <v>4.53</v>
      </c>
      <c r="AA55" t="s">
        <v>51</v>
      </c>
      <c r="AB55" s="3">
        <v>1672880</v>
      </c>
      <c r="AC55" s="3">
        <v>234521.44</v>
      </c>
      <c r="AD55" s="3">
        <v>120679.96952</v>
      </c>
      <c r="AE55" s="3">
        <v>113841.47048</v>
      </c>
      <c r="AF55" s="3">
        <v>94.33336031886661</v>
      </c>
      <c r="AG55" s="3">
        <v>48.542031159283347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s="3">
        <v>23398.800000000003</v>
      </c>
      <c r="AO55" s="3">
        <v>528316.63</v>
      </c>
      <c r="AP55" s="3">
        <v>454588.89999999985</v>
      </c>
      <c r="AQ55" s="3">
        <v>73727.730000000156</v>
      </c>
      <c r="AR55" s="3">
        <v>16.21855043094985</v>
      </c>
      <c r="AS55" s="3">
        <v>13.955216590475327</v>
      </c>
      <c r="AT55" s="3">
        <v>351</v>
      </c>
      <c r="AU55" s="3">
        <v>8500</v>
      </c>
      <c r="AV55" s="3">
        <v>0</v>
      </c>
      <c r="AW55" s="3">
        <v>8500</v>
      </c>
      <c r="AX55" s="3">
        <v>0</v>
      </c>
      <c r="AY55" s="3">
        <v>100</v>
      </c>
    </row>
    <row r="56" spans="1:51" hidden="1" x14ac:dyDescent="0.2">
      <c r="A56">
        <v>55</v>
      </c>
      <c r="B56" s="4">
        <v>46077</v>
      </c>
      <c r="C56" s="3">
        <v>220</v>
      </c>
      <c r="D56" s="3">
        <v>21630</v>
      </c>
      <c r="E56" s="3">
        <v>67</v>
      </c>
      <c r="F56" s="3">
        <v>6331.5</v>
      </c>
      <c r="G56" s="3">
        <v>1</v>
      </c>
      <c r="H56" s="3">
        <v>5880</v>
      </c>
      <c r="I56" s="3">
        <v>55919</v>
      </c>
      <c r="J56" s="3">
        <v>48</v>
      </c>
      <c r="K56" s="3">
        <v>71115</v>
      </c>
      <c r="L56" s="3">
        <v>187645</v>
      </c>
      <c r="M56" s="3">
        <v>21</v>
      </c>
      <c r="N56" s="3">
        <v>30790</v>
      </c>
      <c r="O56" s="3">
        <v>111679</v>
      </c>
      <c r="P56" s="3">
        <v>590</v>
      </c>
      <c r="Q56" s="3">
        <v>20</v>
      </c>
      <c r="R56" s="3">
        <v>94978</v>
      </c>
      <c r="S56" s="3">
        <v>981</v>
      </c>
      <c r="T56" s="3">
        <v>2173096</v>
      </c>
      <c r="U56" s="3">
        <v>171207</v>
      </c>
      <c r="V56" s="3">
        <v>22960</v>
      </c>
      <c r="W56" s="3">
        <v>0.96</v>
      </c>
      <c r="X56" s="3">
        <v>4.1100000000000003</v>
      </c>
      <c r="AA56" t="s">
        <v>51</v>
      </c>
      <c r="AB56" s="3">
        <v>883760</v>
      </c>
      <c r="AC56" s="3">
        <v>129578.20999999999</v>
      </c>
      <c r="AD56" s="3">
        <v>76546.521515</v>
      </c>
      <c r="AE56" s="3">
        <v>53031.688484999991</v>
      </c>
      <c r="AF56" s="3">
        <v>69.280337545590413</v>
      </c>
      <c r="AG56" s="3">
        <v>40.926393785652692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s="3">
        <v>3446.52</v>
      </c>
      <c r="AO56" s="3">
        <v>75823.440000000017</v>
      </c>
      <c r="AP56" s="3">
        <v>64015.62</v>
      </c>
      <c r="AQ56" s="3">
        <v>11807.820000000014</v>
      </c>
      <c r="AR56" s="3">
        <v>18.445216964234685</v>
      </c>
      <c r="AS56" s="3">
        <v>15.5727832976188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</row>
    <row r="57" spans="1:51" hidden="1" x14ac:dyDescent="0.2">
      <c r="A57">
        <v>56</v>
      </c>
      <c r="B57" s="4">
        <v>46078</v>
      </c>
      <c r="C57" s="3"/>
      <c r="D57" s="3"/>
      <c r="E57" s="3">
        <v>3027.2</v>
      </c>
      <c r="F57" s="3">
        <v>327763.18999999994</v>
      </c>
      <c r="G57" s="3">
        <v>6</v>
      </c>
      <c r="H57" s="3">
        <v>25270</v>
      </c>
      <c r="I57" s="3">
        <v>235124</v>
      </c>
      <c r="J57" s="3">
        <v>77</v>
      </c>
      <c r="K57" s="3">
        <v>97660</v>
      </c>
      <c r="L57" s="3">
        <v>294761</v>
      </c>
      <c r="M57" s="3">
        <v>6</v>
      </c>
      <c r="N57" s="3">
        <v>11305</v>
      </c>
      <c r="O57" s="3">
        <v>40627</v>
      </c>
      <c r="P57" s="3">
        <v>150</v>
      </c>
      <c r="Q57" s="3">
        <v>14</v>
      </c>
      <c r="R57" s="3">
        <v>55042</v>
      </c>
      <c r="S57" s="3">
        <v>709</v>
      </c>
      <c r="T57" s="3">
        <v>937620</v>
      </c>
      <c r="U57" s="3">
        <v>161006</v>
      </c>
      <c r="V57" s="3">
        <v>13275</v>
      </c>
      <c r="W57" s="3">
        <v>1.24</v>
      </c>
      <c r="X57" s="3">
        <v>4.28</v>
      </c>
      <c r="AA57" t="s">
        <v>51</v>
      </c>
      <c r="AB57" s="3">
        <v>657811</v>
      </c>
      <c r="AC57" s="3">
        <v>123514.26</v>
      </c>
      <c r="AD57" s="3">
        <v>90545.532604999986</v>
      </c>
      <c r="AE57" s="3">
        <v>32968.727395000009</v>
      </c>
      <c r="AF57" s="3">
        <v>36.411213724728206</v>
      </c>
      <c r="AG57" s="3">
        <v>26.692243790312155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s="3">
        <v>7067.01</v>
      </c>
      <c r="AO57" s="3">
        <v>164044.74</v>
      </c>
      <c r="AP57" s="3">
        <v>136120.85</v>
      </c>
      <c r="AQ57" s="3">
        <v>27923.889999999985</v>
      </c>
      <c r="AR57" s="3">
        <v>20.514043219683089</v>
      </c>
      <c r="AS57" s="3">
        <v>17.022118478166377</v>
      </c>
      <c r="AT57" s="3">
        <v>382.20000000000005</v>
      </c>
      <c r="AU57" s="3">
        <v>10319.400000000001</v>
      </c>
      <c r="AV57" s="3">
        <v>0</v>
      </c>
      <c r="AW57" s="3">
        <v>10319.400000000001</v>
      </c>
      <c r="AX57" s="3">
        <v>0</v>
      </c>
      <c r="AY57" s="3">
        <v>100</v>
      </c>
    </row>
    <row r="58" spans="1:51" hidden="1" x14ac:dyDescent="0.2">
      <c r="A58">
        <v>57</v>
      </c>
      <c r="B58" s="4">
        <v>46079</v>
      </c>
      <c r="C58" s="3"/>
      <c r="D58" s="3"/>
      <c r="E58" s="3">
        <v>2274</v>
      </c>
      <c r="F58" s="3">
        <v>280928.45999999996</v>
      </c>
      <c r="G58" s="3">
        <v>7</v>
      </c>
      <c r="H58" s="3">
        <v>29470</v>
      </c>
      <c r="I58" s="3">
        <v>265230</v>
      </c>
      <c r="J58" s="3">
        <v>44</v>
      </c>
      <c r="K58" s="3">
        <v>63199</v>
      </c>
      <c r="L58" s="3">
        <v>180695</v>
      </c>
      <c r="M58" s="3">
        <v>20</v>
      </c>
      <c r="N58" s="3">
        <v>26483</v>
      </c>
      <c r="O58" s="3">
        <v>88886</v>
      </c>
      <c r="P58" s="3">
        <v>485</v>
      </c>
      <c r="Q58" s="3">
        <v>16</v>
      </c>
      <c r="R58" s="3">
        <v>78234</v>
      </c>
      <c r="S58" s="3">
        <v>317</v>
      </c>
      <c r="T58" s="3">
        <v>1108900</v>
      </c>
      <c r="U58" s="3">
        <v>142350</v>
      </c>
      <c r="V58" s="3">
        <v>-2131</v>
      </c>
      <c r="W58" s="3">
        <v>0</v>
      </c>
      <c r="X58" s="3">
        <v>0</v>
      </c>
      <c r="AA58" t="s">
        <v>51</v>
      </c>
      <c r="AB58" s="3">
        <v>451275</v>
      </c>
      <c r="AC58" s="3">
        <v>173698</v>
      </c>
      <c r="AD58" s="3">
        <v>97156.476784999992</v>
      </c>
      <c r="AE58" s="3">
        <v>76541.523215000008</v>
      </c>
      <c r="AF58" s="3">
        <v>78.781699118609112</v>
      </c>
      <c r="AG58" s="3">
        <v>44.065863288581333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</row>
    <row r="59" spans="1:51" hidden="1" x14ac:dyDescent="0.2">
      <c r="A59">
        <v>58</v>
      </c>
      <c r="B59" s="4">
        <v>46080</v>
      </c>
      <c r="C59" s="3">
        <v>5163.5</v>
      </c>
      <c r="D59" s="3">
        <v>707244.66</v>
      </c>
      <c r="E59" s="3">
        <v>509</v>
      </c>
      <c r="F59" s="3">
        <v>43606.03</v>
      </c>
      <c r="G59" s="3">
        <v>3</v>
      </c>
      <c r="H59" s="3">
        <v>9530</v>
      </c>
      <c r="I59" s="3">
        <v>87577</v>
      </c>
      <c r="J59" s="3">
        <v>60</v>
      </c>
      <c r="K59" s="3">
        <v>88090</v>
      </c>
      <c r="L59" s="3">
        <v>251322</v>
      </c>
      <c r="M59" s="3">
        <v>12</v>
      </c>
      <c r="N59" s="3">
        <v>14830</v>
      </c>
      <c r="O59" s="3">
        <v>47800</v>
      </c>
      <c r="P59" s="3">
        <v>285</v>
      </c>
      <c r="Q59" s="3">
        <v>25</v>
      </c>
      <c r="R59" s="3">
        <v>107092</v>
      </c>
      <c r="S59" s="3">
        <v>590</v>
      </c>
      <c r="T59" s="3">
        <v>285975</v>
      </c>
      <c r="U59" s="3">
        <v>53363</v>
      </c>
      <c r="V59" s="3">
        <v>-349</v>
      </c>
      <c r="W59" s="3">
        <v>0</v>
      </c>
      <c r="X59" s="3">
        <v>0</v>
      </c>
      <c r="AA59" t="s">
        <v>51</v>
      </c>
      <c r="AB59" s="3">
        <v>1317675</v>
      </c>
      <c r="AC59" s="3">
        <v>251071.65</v>
      </c>
      <c r="AD59" s="3">
        <v>141885.67312499997</v>
      </c>
      <c r="AE59" s="3">
        <v>109185.97687500002</v>
      </c>
      <c r="AF59" s="3">
        <v>76.953489714784794</v>
      </c>
      <c r="AG59" s="3">
        <v>43.487975195526865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</row>
    <row r="60" spans="1:51" hidden="1" x14ac:dyDescent="0.2">
      <c r="A60">
        <v>59</v>
      </c>
      <c r="B60" s="4">
        <v>46081</v>
      </c>
      <c r="C60" s="3">
        <v>6698</v>
      </c>
      <c r="D60" s="3">
        <v>580145.68999999994</v>
      </c>
      <c r="E60" s="3">
        <v>1889.5</v>
      </c>
      <c r="F60" s="3">
        <v>223271.99500000002</v>
      </c>
      <c r="G60" s="3">
        <v>6</v>
      </c>
      <c r="H60" s="3">
        <v>25300</v>
      </c>
      <c r="I60" s="3">
        <v>234024</v>
      </c>
      <c r="J60" s="3">
        <v>24</v>
      </c>
      <c r="K60" s="3">
        <v>36600</v>
      </c>
      <c r="L60" s="3">
        <v>131214</v>
      </c>
      <c r="M60" s="3">
        <v>24</v>
      </c>
      <c r="N60" s="3">
        <v>33614</v>
      </c>
      <c r="O60" s="3">
        <v>105672</v>
      </c>
      <c r="P60" s="3">
        <v>666</v>
      </c>
      <c r="Q60" s="3">
        <v>13</v>
      </c>
      <c r="R60" s="3">
        <v>45240</v>
      </c>
      <c r="S60" s="3">
        <v>672</v>
      </c>
      <c r="T60" s="3">
        <v>1899055</v>
      </c>
      <c r="U60" s="3">
        <v>154301</v>
      </c>
      <c r="V60" s="3">
        <v>28533</v>
      </c>
      <c r="W60" s="3">
        <v>1.43</v>
      </c>
      <c r="X60" s="3">
        <v>0</v>
      </c>
      <c r="AA60" t="s">
        <v>51</v>
      </c>
      <c r="AB60" s="3">
        <v>2966475</v>
      </c>
      <c r="AC60" s="3">
        <v>727093.33000000007</v>
      </c>
      <c r="AD60" s="3">
        <v>373319.59505</v>
      </c>
      <c r="AE60" s="3">
        <v>353773.73495000007</v>
      </c>
      <c r="AF60" s="3">
        <v>94.764309090879067</v>
      </c>
      <c r="AG60" s="3">
        <v>48.655890564970527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s="3">
        <v>4903.6799999999985</v>
      </c>
      <c r="AO60" s="3">
        <v>107880.95999999998</v>
      </c>
      <c r="AP60" s="3">
        <v>92120.190000000031</v>
      </c>
      <c r="AQ60" s="3">
        <v>15760.769999999946</v>
      </c>
      <c r="AR60" s="3">
        <v>17.108920422330804</v>
      </c>
      <c r="AS60" s="3">
        <v>14.609408370114568</v>
      </c>
      <c r="AT60" s="3">
        <v>1</v>
      </c>
      <c r="AU60" s="3">
        <v>850</v>
      </c>
      <c r="AV60" s="3">
        <v>0</v>
      </c>
      <c r="AW60" s="3">
        <v>850</v>
      </c>
      <c r="AX60" s="3">
        <v>0</v>
      </c>
      <c r="AY60" s="3">
        <v>100</v>
      </c>
    </row>
    <row r="61" spans="1:51" hidden="1" x14ac:dyDescent="0.2">
      <c r="A61">
        <v>60</v>
      </c>
      <c r="B61" s="4">
        <v>46082</v>
      </c>
      <c r="C61" s="3">
        <v>311506</v>
      </c>
      <c r="D61" s="3">
        <v>738561.1</v>
      </c>
      <c r="E61" s="3">
        <v>0</v>
      </c>
      <c r="F61" s="3"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>
        <v>239</v>
      </c>
      <c r="T61" s="3">
        <v>689775</v>
      </c>
      <c r="U61" s="3">
        <v>38831</v>
      </c>
      <c r="V61" s="3">
        <v>0</v>
      </c>
      <c r="W61" s="3">
        <v>0</v>
      </c>
      <c r="X61" s="3">
        <v>1.06</v>
      </c>
      <c r="AA61" t="s">
        <v>51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</row>
    <row r="62" spans="1:51" hidden="1" x14ac:dyDescent="0.2">
      <c r="A62">
        <v>61</v>
      </c>
      <c r="B62" s="4">
        <v>46083</v>
      </c>
      <c r="C62" s="3">
        <v>20826</v>
      </c>
      <c r="D62" s="3">
        <v>829150.38</v>
      </c>
      <c r="E62" s="3">
        <v>10696</v>
      </c>
      <c r="F62" s="3">
        <v>206450.22</v>
      </c>
      <c r="G62" s="3">
        <v>8</v>
      </c>
      <c r="H62" s="3">
        <v>22220</v>
      </c>
      <c r="I62" s="3">
        <v>205534</v>
      </c>
      <c r="J62" s="3">
        <v>108</v>
      </c>
      <c r="K62" s="3">
        <v>137890</v>
      </c>
      <c r="L62" s="3">
        <v>405849</v>
      </c>
      <c r="M62" s="3">
        <v>16</v>
      </c>
      <c r="N62" s="3">
        <v>20607</v>
      </c>
      <c r="O62" s="3">
        <v>82248</v>
      </c>
      <c r="P62" s="3">
        <v>555</v>
      </c>
      <c r="Q62" s="3">
        <v>5</v>
      </c>
      <c r="R62" s="3">
        <v>21666</v>
      </c>
      <c r="S62" s="3">
        <v>574</v>
      </c>
      <c r="T62" s="3">
        <v>3037644</v>
      </c>
      <c r="U62" s="3">
        <v>72803</v>
      </c>
      <c r="V62" s="3">
        <v>-4502</v>
      </c>
      <c r="W62" s="3">
        <v>0</v>
      </c>
      <c r="X62" s="3">
        <v>10.24</v>
      </c>
      <c r="AA62" t="s">
        <v>51</v>
      </c>
      <c r="AB62" s="3">
        <v>1749460</v>
      </c>
      <c r="AC62" s="3">
        <v>135304.54999999999</v>
      </c>
      <c r="AD62" s="3">
        <v>78682.797077999989</v>
      </c>
      <c r="AE62" s="3">
        <v>56621.752922</v>
      </c>
      <c r="AF62" s="3">
        <v>71.962048916321081</v>
      </c>
      <c r="AG62" s="3">
        <v>41.847634038914435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s="3">
        <v>9022.4</v>
      </c>
      <c r="AO62" s="3">
        <v>214679.67999999993</v>
      </c>
      <c r="AP62" s="3">
        <v>184892.15999999997</v>
      </c>
      <c r="AQ62" s="3">
        <v>29787.51999999996</v>
      </c>
      <c r="AR62" s="3">
        <v>16.110753425131691</v>
      </c>
      <c r="AS62" s="3">
        <v>13.875332774857856</v>
      </c>
      <c r="AT62" s="3">
        <v>72816</v>
      </c>
      <c r="AU62" s="3">
        <v>36632.6</v>
      </c>
      <c r="AV62" s="3">
        <v>0</v>
      </c>
      <c r="AW62" s="3">
        <v>36632.6</v>
      </c>
      <c r="AX62" s="3">
        <v>0</v>
      </c>
      <c r="AY62" s="3">
        <v>100</v>
      </c>
    </row>
    <row r="63" spans="1:51" hidden="1" x14ac:dyDescent="0.2">
      <c r="A63">
        <v>62</v>
      </c>
      <c r="B63" s="4">
        <v>46084</v>
      </c>
      <c r="C63" s="3"/>
      <c r="D63" s="3"/>
      <c r="E63" s="3">
        <v>4793.0600000000004</v>
      </c>
      <c r="F63" s="3">
        <v>460384.19999999995</v>
      </c>
      <c r="G63" s="3">
        <v>5</v>
      </c>
      <c r="H63" s="3">
        <v>16070</v>
      </c>
      <c r="I63" s="3">
        <v>168525</v>
      </c>
      <c r="J63" s="3">
        <v>51</v>
      </c>
      <c r="K63" s="3">
        <v>74535</v>
      </c>
      <c r="L63" s="3">
        <v>199208</v>
      </c>
      <c r="M63" s="3">
        <v>12</v>
      </c>
      <c r="N63" s="3">
        <v>16812</v>
      </c>
      <c r="O63" s="3">
        <v>90139</v>
      </c>
      <c r="P63" s="3">
        <v>284</v>
      </c>
      <c r="Q63" s="3">
        <v>7</v>
      </c>
      <c r="R63" s="3">
        <v>17619</v>
      </c>
      <c r="S63" s="3">
        <v>725</v>
      </c>
      <c r="T63" s="3">
        <v>1831350</v>
      </c>
      <c r="U63" s="3">
        <v>153723</v>
      </c>
      <c r="V63" s="3">
        <v>4050</v>
      </c>
      <c r="W63" s="3">
        <v>0.22</v>
      </c>
      <c r="X63" s="3">
        <v>8.42</v>
      </c>
      <c r="AA63" t="s">
        <v>51</v>
      </c>
      <c r="AB63" s="3">
        <v>2345600</v>
      </c>
      <c r="AC63" s="3">
        <v>321550.84999999992</v>
      </c>
      <c r="AD63" s="3">
        <v>174097.06065000003</v>
      </c>
      <c r="AE63" s="3">
        <v>147453.78934999989</v>
      </c>
      <c r="AF63" s="3">
        <v>84.696311815646879</v>
      </c>
      <c r="AG63" s="3">
        <v>45.857067194815357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s="3">
        <v>15904.369999999995</v>
      </c>
      <c r="AO63" s="3">
        <v>354193.68999999994</v>
      </c>
      <c r="AP63" s="3">
        <v>291155.66499999998</v>
      </c>
      <c r="AQ63" s="3">
        <v>63038.024999999965</v>
      </c>
      <c r="AR63" s="3">
        <v>21.650969765606302</v>
      </c>
      <c r="AS63" s="3">
        <v>17.797613785835647</v>
      </c>
      <c r="AT63" s="3">
        <v>2000</v>
      </c>
      <c r="AU63" s="3">
        <v>5000</v>
      </c>
      <c r="AV63" s="3">
        <v>4500</v>
      </c>
      <c r="AW63" s="3">
        <v>500</v>
      </c>
      <c r="AX63" s="3">
        <v>11.111111111111111</v>
      </c>
      <c r="AY63" s="3">
        <v>10</v>
      </c>
    </row>
    <row r="64" spans="1:51" hidden="1" x14ac:dyDescent="0.2">
      <c r="A64">
        <v>63</v>
      </c>
      <c r="B64" s="4">
        <v>46085</v>
      </c>
      <c r="C64" s="3"/>
      <c r="D64" s="3"/>
      <c r="E64" s="3">
        <v>0</v>
      </c>
      <c r="F64" s="3"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>
        <v>32</v>
      </c>
      <c r="T64" s="3">
        <v>56000</v>
      </c>
      <c r="U64" s="3">
        <v>1562</v>
      </c>
      <c r="V64" s="3">
        <v>0</v>
      </c>
      <c r="W64" s="3">
        <v>0</v>
      </c>
      <c r="X64" s="3">
        <v>2.04</v>
      </c>
      <c r="AA64" t="s">
        <v>51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</row>
    <row r="65" spans="1:51" hidden="1" x14ac:dyDescent="0.2">
      <c r="A65">
        <v>64</v>
      </c>
      <c r="B65" s="4">
        <v>46086</v>
      </c>
      <c r="C65" s="3">
        <v>13532</v>
      </c>
      <c r="D65" s="3">
        <v>165746.23999999999</v>
      </c>
      <c r="E65" s="3">
        <v>12415</v>
      </c>
      <c r="F65" s="3">
        <v>138967.70000000001</v>
      </c>
      <c r="G65" s="3">
        <v>6</v>
      </c>
      <c r="H65" s="3">
        <v>27640</v>
      </c>
      <c r="I65" s="3">
        <v>262856</v>
      </c>
      <c r="J65" s="3">
        <v>72</v>
      </c>
      <c r="K65" s="3">
        <v>87980</v>
      </c>
      <c r="L65" s="3">
        <v>219561</v>
      </c>
      <c r="M65" s="3">
        <v>13</v>
      </c>
      <c r="N65" s="3">
        <v>16542</v>
      </c>
      <c r="O65" s="3">
        <v>36338</v>
      </c>
      <c r="P65" s="3">
        <v>323</v>
      </c>
      <c r="Q65" s="3">
        <v>10</v>
      </c>
      <c r="R65" s="3">
        <v>32220</v>
      </c>
      <c r="S65" s="3">
        <v>236</v>
      </c>
      <c r="T65" s="3">
        <v>1377455</v>
      </c>
      <c r="U65" s="3">
        <v>106913</v>
      </c>
      <c r="V65" s="3">
        <v>0</v>
      </c>
      <c r="W65" s="3">
        <v>0</v>
      </c>
      <c r="X65" s="3">
        <v>3.97</v>
      </c>
      <c r="AA65" t="s">
        <v>51</v>
      </c>
      <c r="AB65" s="3">
        <v>1745810</v>
      </c>
      <c r="AC65" s="3">
        <v>302006.09999999998</v>
      </c>
      <c r="AD65" s="3">
        <v>214572.46674999993</v>
      </c>
      <c r="AE65" s="3">
        <v>87433.633250000043</v>
      </c>
      <c r="AF65" s="3">
        <v>40.747834321105913</v>
      </c>
      <c r="AG65" s="3">
        <v>28.950949417909129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s="3">
        <v>1287.78</v>
      </c>
      <c r="AO65" s="3">
        <v>28331.16</v>
      </c>
      <c r="AP65" s="3">
        <v>25023.491999999998</v>
      </c>
      <c r="AQ65" s="3">
        <v>3307.6680000000015</v>
      </c>
      <c r="AR65" s="3">
        <v>13.218251073830951</v>
      </c>
      <c r="AS65" s="3">
        <v>11.675017895490342</v>
      </c>
      <c r="AT65" s="3">
        <v>11643.36</v>
      </c>
      <c r="AU65" s="3">
        <v>66720.72</v>
      </c>
      <c r="AV65" s="3">
        <v>0</v>
      </c>
      <c r="AW65" s="3">
        <v>66720.72</v>
      </c>
      <c r="AX65" s="3">
        <v>0</v>
      </c>
      <c r="AY65" s="3">
        <v>100</v>
      </c>
    </row>
    <row r="66" spans="1:51" hidden="1" x14ac:dyDescent="0.2">
      <c r="A66">
        <v>65</v>
      </c>
      <c r="B66" s="4">
        <v>46087</v>
      </c>
      <c r="C66" s="3"/>
      <c r="D66" s="3"/>
      <c r="E66" s="3">
        <v>446</v>
      </c>
      <c r="F66" s="3">
        <v>38662.15</v>
      </c>
      <c r="G66" s="3">
        <v>3</v>
      </c>
      <c r="H66" s="3">
        <v>7970</v>
      </c>
      <c r="I66" s="3">
        <v>66629</v>
      </c>
      <c r="J66" s="3">
        <v>86</v>
      </c>
      <c r="K66" s="3">
        <v>103470</v>
      </c>
      <c r="L66" s="3">
        <v>321923</v>
      </c>
      <c r="M66" s="3">
        <v>15</v>
      </c>
      <c r="N66" s="3">
        <v>22075</v>
      </c>
      <c r="O66" s="3">
        <v>57761</v>
      </c>
      <c r="P66" s="3">
        <v>350</v>
      </c>
      <c r="Q66" s="3">
        <v>10</v>
      </c>
      <c r="R66" s="3">
        <v>34479</v>
      </c>
      <c r="S66" s="3">
        <v>520</v>
      </c>
      <c r="T66" s="3">
        <v>1129620</v>
      </c>
      <c r="U66" s="3">
        <v>72772</v>
      </c>
      <c r="V66" s="3">
        <v>-2962</v>
      </c>
      <c r="W66" s="3">
        <v>0</v>
      </c>
      <c r="X66" s="3">
        <v>4.51</v>
      </c>
      <c r="AA66" t="s">
        <v>51</v>
      </c>
      <c r="AB66" s="3">
        <v>336200</v>
      </c>
      <c r="AC66" s="3">
        <v>47289.75</v>
      </c>
      <c r="AD66" s="3">
        <v>26794.020400000001</v>
      </c>
      <c r="AE66" s="3">
        <v>20495.729599999999</v>
      </c>
      <c r="AF66" s="3">
        <v>76.493670207103364</v>
      </c>
      <c r="AG66" s="3">
        <v>43.340744241616839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s="3">
        <v>3752.0999999999995</v>
      </c>
      <c r="AO66" s="3">
        <v>82545.87000000001</v>
      </c>
      <c r="AP66" s="3">
        <v>69317.535000000003</v>
      </c>
      <c r="AQ66" s="3">
        <v>13228.335000000006</v>
      </c>
      <c r="AR66" s="3">
        <v>19.083677744743817</v>
      </c>
      <c r="AS66" s="3">
        <v>16.025435312511704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</row>
    <row r="67" spans="1:51" hidden="1" x14ac:dyDescent="0.2">
      <c r="A67">
        <v>66</v>
      </c>
      <c r="B67" s="4">
        <v>46088</v>
      </c>
      <c r="C67" s="3">
        <v>300</v>
      </c>
      <c r="D67" s="3">
        <v>86724</v>
      </c>
      <c r="E67" s="3">
        <v>98830</v>
      </c>
      <c r="F67" s="3">
        <v>258301.19999999998</v>
      </c>
      <c r="G67" s="3"/>
      <c r="H67" s="3"/>
      <c r="I67" s="3"/>
      <c r="J67" s="3">
        <v>90</v>
      </c>
      <c r="K67" s="3">
        <v>146295</v>
      </c>
      <c r="L67" s="3">
        <v>410522</v>
      </c>
      <c r="M67" s="3">
        <v>17</v>
      </c>
      <c r="N67" s="3">
        <v>28115</v>
      </c>
      <c r="O67" s="3">
        <v>96069</v>
      </c>
      <c r="P67" s="3">
        <v>590</v>
      </c>
      <c r="Q67" s="3">
        <v>14</v>
      </c>
      <c r="R67" s="3">
        <v>60852</v>
      </c>
      <c r="S67" s="3">
        <v>526</v>
      </c>
      <c r="T67" s="3">
        <v>1319645</v>
      </c>
      <c r="U67" s="3">
        <v>68220</v>
      </c>
      <c r="V67" s="3">
        <v>0</v>
      </c>
      <c r="W67" s="3">
        <v>0</v>
      </c>
      <c r="X67" s="3">
        <v>18.66</v>
      </c>
      <c r="AA67" t="s">
        <v>51</v>
      </c>
      <c r="AB67" s="3">
        <v>2521029</v>
      </c>
      <c r="AC67" s="3">
        <v>31688.9</v>
      </c>
      <c r="AD67" s="3">
        <v>21566.184189</v>
      </c>
      <c r="AE67" s="3">
        <v>10122.715811000002</v>
      </c>
      <c r="AF67" s="3">
        <v>46.937908543705994</v>
      </c>
      <c r="AG67" s="3">
        <v>31.944042901457614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s="3">
        <v>17415.230000000003</v>
      </c>
      <c r="AO67" s="3">
        <v>424157.84999999992</v>
      </c>
      <c r="AP67" s="3">
        <v>359401.326</v>
      </c>
      <c r="AQ67" s="3">
        <v>64756.523999999918</v>
      </c>
      <c r="AR67" s="3">
        <v>18.017886778748256</v>
      </c>
      <c r="AS67" s="3">
        <v>15.267081347191835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</row>
    <row r="68" spans="1:51" hidden="1" x14ac:dyDescent="0.2">
      <c r="A68">
        <v>67</v>
      </c>
      <c r="B68" s="4">
        <v>46089</v>
      </c>
      <c r="C68" s="3"/>
      <c r="D68" s="3"/>
      <c r="E68" s="3">
        <v>0</v>
      </c>
      <c r="F68" s="3">
        <v>0</v>
      </c>
      <c r="G68" s="3"/>
      <c r="H68" s="3"/>
      <c r="I68" s="3"/>
      <c r="J68" s="3">
        <v>39</v>
      </c>
      <c r="K68" s="3">
        <v>67485</v>
      </c>
      <c r="L68" s="3">
        <v>197521</v>
      </c>
      <c r="M68" s="3"/>
      <c r="N68" s="3"/>
      <c r="O68" s="3"/>
      <c r="P68" s="3">
        <v>0</v>
      </c>
      <c r="Q68" s="3">
        <v>1</v>
      </c>
      <c r="R68" s="3">
        <v>7582</v>
      </c>
      <c r="S68" s="3"/>
      <c r="T68" s="3"/>
      <c r="U68" s="3"/>
      <c r="V68" s="3">
        <v>0</v>
      </c>
      <c r="W68" s="3">
        <v>0</v>
      </c>
      <c r="X68" s="3">
        <v>0</v>
      </c>
      <c r="AA68" t="s">
        <v>51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</row>
    <row r="69" spans="1:51" hidden="1" x14ac:dyDescent="0.2">
      <c r="A69">
        <v>68</v>
      </c>
      <c r="B69" s="4">
        <v>46090</v>
      </c>
      <c r="C69" s="3">
        <v>5320</v>
      </c>
      <c r="D69" s="3">
        <v>17002.8</v>
      </c>
      <c r="E69" s="3">
        <v>18261</v>
      </c>
      <c r="F69" s="3">
        <v>63878.05</v>
      </c>
      <c r="G69" s="3"/>
      <c r="H69" s="3"/>
      <c r="I69" s="3"/>
      <c r="J69" s="3">
        <v>69</v>
      </c>
      <c r="K69" s="3">
        <v>97770</v>
      </c>
      <c r="L69" s="3">
        <v>314683</v>
      </c>
      <c r="M69" s="3">
        <v>12</v>
      </c>
      <c r="N69" s="3">
        <v>16215</v>
      </c>
      <c r="O69" s="3">
        <v>44791</v>
      </c>
      <c r="P69" s="3">
        <v>485</v>
      </c>
      <c r="Q69" s="3">
        <v>28</v>
      </c>
      <c r="R69" s="3">
        <v>164528</v>
      </c>
      <c r="S69" s="3">
        <v>315</v>
      </c>
      <c r="T69" s="3">
        <v>983580</v>
      </c>
      <c r="U69" s="3">
        <v>70598</v>
      </c>
      <c r="V69" s="3">
        <v>-15312</v>
      </c>
      <c r="W69" s="3">
        <v>0</v>
      </c>
      <c r="X69" s="3">
        <v>2.0099999999999998</v>
      </c>
      <c r="AA69" t="s">
        <v>51</v>
      </c>
      <c r="AB69" s="3">
        <v>1088560</v>
      </c>
      <c r="AC69" s="3">
        <v>129963.03</v>
      </c>
      <c r="AD69" s="3">
        <v>97793.940979999999</v>
      </c>
      <c r="AE69" s="3">
        <v>32169.089019999999</v>
      </c>
      <c r="AF69" s="3">
        <v>32.894766994387666</v>
      </c>
      <c r="AG69" s="3">
        <v>24.752492320316016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653</v>
      </c>
      <c r="AU69" s="3">
        <v>20150</v>
      </c>
      <c r="AV69" s="3">
        <v>0</v>
      </c>
      <c r="AW69" s="3">
        <v>20150</v>
      </c>
      <c r="AX69" s="3">
        <v>0</v>
      </c>
      <c r="AY69" s="3">
        <v>100</v>
      </c>
    </row>
    <row r="70" spans="1:51" hidden="1" x14ac:dyDescent="0.2">
      <c r="A70">
        <v>69</v>
      </c>
      <c r="B70" s="4">
        <v>46091</v>
      </c>
      <c r="C70" s="3"/>
      <c r="D70" s="3"/>
      <c r="E70" s="3">
        <v>65147</v>
      </c>
      <c r="F70" s="3">
        <v>105502.55</v>
      </c>
      <c r="G70" s="3"/>
      <c r="H70" s="3"/>
      <c r="I70" s="3"/>
      <c r="J70" s="3">
        <v>44</v>
      </c>
      <c r="K70" s="3">
        <v>66775</v>
      </c>
      <c r="L70" s="3">
        <v>108086</v>
      </c>
      <c r="M70" s="3">
        <v>10</v>
      </c>
      <c r="N70" s="3">
        <v>13405</v>
      </c>
      <c r="O70" s="3">
        <v>50600</v>
      </c>
      <c r="P70" s="3">
        <v>525</v>
      </c>
      <c r="Q70" s="3">
        <v>14</v>
      </c>
      <c r="R70" s="3">
        <v>74565</v>
      </c>
      <c r="S70" s="3">
        <v>3827</v>
      </c>
      <c r="T70" s="3">
        <v>397726</v>
      </c>
      <c r="U70" s="3">
        <v>69976</v>
      </c>
      <c r="V70" s="3">
        <v>-12126</v>
      </c>
      <c r="W70" s="3">
        <v>0</v>
      </c>
      <c r="X70" s="3">
        <v>6.44</v>
      </c>
      <c r="AA70" t="s">
        <v>51</v>
      </c>
      <c r="AB70" s="3">
        <v>723970</v>
      </c>
      <c r="AC70" s="3">
        <v>90467.099999999991</v>
      </c>
      <c r="AD70" s="3">
        <v>61134.291129999998</v>
      </c>
      <c r="AE70" s="3">
        <v>29332.808869999993</v>
      </c>
      <c r="AF70" s="3">
        <v>47.980942164888717</v>
      </c>
      <c r="AG70" s="3">
        <v>32.423730693257546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3">
        <v>16025.650000000001</v>
      </c>
      <c r="AO70" s="3">
        <v>365982.85000000009</v>
      </c>
      <c r="AP70" s="3">
        <v>322578.4800000001</v>
      </c>
      <c r="AQ70" s="3">
        <v>43404.369999999995</v>
      </c>
      <c r="AR70" s="3">
        <v>13.455445012946921</v>
      </c>
      <c r="AS70" s="3">
        <v>11.859673205998583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</row>
    <row r="71" spans="1:51" hidden="1" x14ac:dyDescent="0.2">
      <c r="A71">
        <v>70</v>
      </c>
      <c r="B71" s="4">
        <v>46092</v>
      </c>
      <c r="C71" s="3"/>
      <c r="D71" s="3"/>
      <c r="E71" s="3">
        <v>113</v>
      </c>
      <c r="F71" s="3">
        <v>19867.800000000003</v>
      </c>
      <c r="G71" s="3"/>
      <c r="H71" s="3"/>
      <c r="I71" s="3"/>
      <c r="J71" s="3"/>
      <c r="K71" s="3"/>
      <c r="L71" s="3"/>
      <c r="M71" s="3">
        <v>17</v>
      </c>
      <c r="N71" s="3">
        <v>27656</v>
      </c>
      <c r="O71" s="3">
        <v>81710</v>
      </c>
      <c r="P71" s="3">
        <v>143</v>
      </c>
      <c r="Q71" s="3">
        <v>17</v>
      </c>
      <c r="R71" s="3">
        <v>57358</v>
      </c>
      <c r="S71" s="3">
        <v>13006</v>
      </c>
      <c r="T71" s="3">
        <v>636617</v>
      </c>
      <c r="U71" s="3">
        <v>86950</v>
      </c>
      <c r="V71" s="3">
        <v>0</v>
      </c>
      <c r="W71" s="3">
        <v>0</v>
      </c>
      <c r="X71" s="3">
        <v>17.559999999999999</v>
      </c>
      <c r="AA71" t="s">
        <v>51</v>
      </c>
      <c r="AB71" s="3">
        <v>1025867</v>
      </c>
      <c r="AC71" s="3">
        <v>154902.25999999998</v>
      </c>
      <c r="AD71" s="3">
        <v>87687.721663000004</v>
      </c>
      <c r="AE71" s="3">
        <v>67214.538336999976</v>
      </c>
      <c r="AF71" s="3">
        <v>76.652166417685905</v>
      </c>
      <c r="AG71" s="3">
        <v>43.391580172555251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5890.4</v>
      </c>
      <c r="AU71" s="3">
        <v>30540.799999999999</v>
      </c>
      <c r="AV71" s="3">
        <v>0</v>
      </c>
      <c r="AW71" s="3">
        <v>30540.799999999999</v>
      </c>
      <c r="AX71" s="3">
        <v>0</v>
      </c>
      <c r="AY71" s="3">
        <v>100</v>
      </c>
    </row>
    <row r="72" spans="1:51" hidden="1" x14ac:dyDescent="0.2">
      <c r="A72">
        <v>71</v>
      </c>
      <c r="B72" s="4">
        <v>46093</v>
      </c>
      <c r="C72" s="3">
        <v>71300</v>
      </c>
      <c r="D72" s="3">
        <v>189984.19</v>
      </c>
      <c r="E72" s="3">
        <v>65981</v>
      </c>
      <c r="F72" s="3">
        <v>214375.40000000002</v>
      </c>
      <c r="G72" s="3">
        <v>6</v>
      </c>
      <c r="H72" s="3">
        <v>25000</v>
      </c>
      <c r="I72" s="3">
        <v>232500</v>
      </c>
      <c r="J72" s="3">
        <v>20</v>
      </c>
      <c r="K72" s="3">
        <v>28820</v>
      </c>
      <c r="L72" s="3">
        <v>87219</v>
      </c>
      <c r="M72" s="3">
        <v>10</v>
      </c>
      <c r="N72" s="3">
        <v>12705</v>
      </c>
      <c r="O72" s="3">
        <v>40873</v>
      </c>
      <c r="P72" s="3">
        <v>195</v>
      </c>
      <c r="Q72" s="3">
        <v>24</v>
      </c>
      <c r="R72" s="3">
        <v>89417</v>
      </c>
      <c r="S72" s="3">
        <v>371</v>
      </c>
      <c r="T72" s="3">
        <v>627660</v>
      </c>
      <c r="U72" s="3">
        <v>98250</v>
      </c>
      <c r="V72" s="3">
        <v>13551</v>
      </c>
      <c r="W72" s="3">
        <v>2.0299999999999998</v>
      </c>
      <c r="X72" s="3">
        <v>2.81</v>
      </c>
      <c r="AA72" t="s">
        <v>51</v>
      </c>
      <c r="AB72" s="3">
        <v>384160</v>
      </c>
      <c r="AC72" s="3">
        <v>82218.2</v>
      </c>
      <c r="AD72" s="3">
        <v>40106.220200000003</v>
      </c>
      <c r="AE72" s="3">
        <v>42111.979799999994</v>
      </c>
      <c r="AF72" s="3">
        <v>105.00111850480486</v>
      </c>
      <c r="AG72" s="3">
        <v>51.219778345913667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58811</v>
      </c>
      <c r="AU72" s="3">
        <v>11552</v>
      </c>
      <c r="AV72" s="3">
        <v>1176</v>
      </c>
      <c r="AW72" s="3">
        <v>10376</v>
      </c>
      <c r="AX72" s="3">
        <v>882.31292517006796</v>
      </c>
      <c r="AY72" s="3">
        <v>89.819944598337955</v>
      </c>
    </row>
    <row r="73" spans="1:51" hidden="1" x14ac:dyDescent="0.2">
      <c r="A73">
        <v>72</v>
      </c>
      <c r="B73" s="4">
        <v>46094</v>
      </c>
      <c r="C73" s="3">
        <v>11710</v>
      </c>
      <c r="D73" s="3">
        <v>228615</v>
      </c>
      <c r="E73" s="3">
        <v>3164</v>
      </c>
      <c r="F73" s="3">
        <v>199167.78999999998</v>
      </c>
      <c r="G73" s="3">
        <v>7</v>
      </c>
      <c r="H73" s="3">
        <v>29250</v>
      </c>
      <c r="I73" s="3">
        <v>272025</v>
      </c>
      <c r="J73" s="3">
        <v>1</v>
      </c>
      <c r="K73" s="3">
        <v>1200</v>
      </c>
      <c r="L73" s="3">
        <v>5700</v>
      </c>
      <c r="M73" s="3">
        <v>14</v>
      </c>
      <c r="N73" s="3">
        <v>22800</v>
      </c>
      <c r="O73" s="3">
        <v>68111</v>
      </c>
      <c r="P73" s="3">
        <v>110</v>
      </c>
      <c r="Q73" s="3">
        <v>18</v>
      </c>
      <c r="R73" s="3">
        <v>55123</v>
      </c>
      <c r="S73" s="3">
        <v>781</v>
      </c>
      <c r="T73" s="3">
        <v>1996540</v>
      </c>
      <c r="U73" s="3">
        <v>175537</v>
      </c>
      <c r="V73" s="3">
        <v>1</v>
      </c>
      <c r="W73" s="3">
        <v>0</v>
      </c>
      <c r="X73" s="3">
        <v>0.8</v>
      </c>
      <c r="AA73" t="s">
        <v>51</v>
      </c>
      <c r="AB73" s="3">
        <v>211700</v>
      </c>
      <c r="AC73" s="3">
        <v>61651.199999999997</v>
      </c>
      <c r="AD73" s="3">
        <v>41043.657299999999</v>
      </c>
      <c r="AE73" s="3">
        <v>20607.542699999998</v>
      </c>
      <c r="AF73" s="3">
        <v>50.208836287111282</v>
      </c>
      <c r="AG73" s="3">
        <v>33.426020418094048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s="3">
        <v>2812.5</v>
      </c>
      <c r="AO73" s="3">
        <v>61875</v>
      </c>
      <c r="AP73" s="3">
        <v>52979.98</v>
      </c>
      <c r="AQ73" s="3">
        <v>8895.0199999999968</v>
      </c>
      <c r="AR73" s="3">
        <v>16.789398561494355</v>
      </c>
      <c r="AS73" s="3">
        <v>14.375789898989893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</row>
    <row r="74" spans="1:51" hidden="1" x14ac:dyDescent="0.2">
      <c r="A74">
        <v>73</v>
      </c>
      <c r="B74" s="4">
        <v>46095</v>
      </c>
      <c r="C74" s="3">
        <v>17410</v>
      </c>
      <c r="D74" s="3">
        <v>61313.3</v>
      </c>
      <c r="E74" s="3">
        <v>20656.46</v>
      </c>
      <c r="F74" s="3">
        <v>546356.07500000007</v>
      </c>
      <c r="G74" s="3">
        <v>10</v>
      </c>
      <c r="H74" s="3">
        <v>35550</v>
      </c>
      <c r="I74" s="3">
        <v>348577</v>
      </c>
      <c r="J74" s="3">
        <v>40</v>
      </c>
      <c r="K74" s="3">
        <v>57010</v>
      </c>
      <c r="L74" s="3">
        <v>145056</v>
      </c>
      <c r="M74" s="3">
        <v>9</v>
      </c>
      <c r="N74" s="3">
        <v>13946</v>
      </c>
      <c r="O74" s="3">
        <v>46183</v>
      </c>
      <c r="P74" s="3">
        <v>194</v>
      </c>
      <c r="Q74" s="3">
        <v>4</v>
      </c>
      <c r="R74" s="3">
        <v>8586</v>
      </c>
      <c r="S74" s="3">
        <v>459</v>
      </c>
      <c r="T74" s="3">
        <v>1644276</v>
      </c>
      <c r="U74" s="3">
        <v>88329</v>
      </c>
      <c r="V74" s="3">
        <v>0</v>
      </c>
      <c r="W74" s="3">
        <v>0</v>
      </c>
      <c r="X74" s="3">
        <v>0</v>
      </c>
      <c r="AA74" t="s">
        <v>51</v>
      </c>
      <c r="AB74" s="3">
        <v>2014180</v>
      </c>
      <c r="AC74" s="3">
        <v>219110.91</v>
      </c>
      <c r="AD74" s="3">
        <v>112361.24163999999</v>
      </c>
      <c r="AE74" s="3">
        <v>106749.66836000001</v>
      </c>
      <c r="AF74" s="3">
        <v>95.005774946863625</v>
      </c>
      <c r="AG74" s="3">
        <v>48.719467396671398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s="3">
        <v>2951.2599999999998</v>
      </c>
      <c r="AO74" s="3">
        <v>62707.62</v>
      </c>
      <c r="AP74" s="3">
        <v>55380.895000000004</v>
      </c>
      <c r="AQ74" s="3">
        <v>7326.7249999999985</v>
      </c>
      <c r="AR74" s="3">
        <v>13.229697714347155</v>
      </c>
      <c r="AS74" s="3">
        <v>11.683946863236077</v>
      </c>
      <c r="AT74" s="3">
        <v>1733.46</v>
      </c>
      <c r="AU74" s="3">
        <v>54365.3</v>
      </c>
      <c r="AV74" s="3">
        <v>0</v>
      </c>
      <c r="AW74" s="3">
        <v>54365.3</v>
      </c>
      <c r="AX74" s="3">
        <v>0</v>
      </c>
      <c r="AY74" s="3">
        <v>100</v>
      </c>
    </row>
    <row r="75" spans="1:51" hidden="1" x14ac:dyDescent="0.2">
      <c r="A75">
        <v>74</v>
      </c>
      <c r="B75" s="4">
        <v>46096</v>
      </c>
      <c r="C75" s="3"/>
      <c r="D75" s="3"/>
      <c r="E75" s="3">
        <v>1921</v>
      </c>
      <c r="F75" s="3">
        <v>189066.55</v>
      </c>
      <c r="G75" s="3">
        <v>8</v>
      </c>
      <c r="H75" s="3">
        <v>30830</v>
      </c>
      <c r="I75" s="3">
        <v>257739</v>
      </c>
      <c r="J75" s="3">
        <v>113</v>
      </c>
      <c r="K75" s="3">
        <v>162860</v>
      </c>
      <c r="L75" s="3">
        <v>470515</v>
      </c>
      <c r="M75" s="3"/>
      <c r="N75" s="3"/>
      <c r="O75" s="3"/>
      <c r="P75" s="3"/>
      <c r="Q75" s="3"/>
      <c r="R75" s="3"/>
      <c r="S75" s="3"/>
      <c r="T75" s="3"/>
      <c r="U75" s="3"/>
      <c r="V75" s="3">
        <v>0</v>
      </c>
      <c r="W75" s="3">
        <v>0</v>
      </c>
      <c r="X75" s="3">
        <v>0</v>
      </c>
      <c r="AA75" t="s">
        <v>51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</row>
    <row r="76" spans="1:51" hidden="1" x14ac:dyDescent="0.2">
      <c r="A76">
        <v>75</v>
      </c>
      <c r="B76" s="4">
        <v>46097</v>
      </c>
      <c r="C76" s="3">
        <v>1060</v>
      </c>
      <c r="D76" s="3">
        <v>240216</v>
      </c>
      <c r="E76" s="3">
        <v>12351.5</v>
      </c>
      <c r="F76" s="3">
        <v>441425.185</v>
      </c>
      <c r="G76" s="3">
        <v>8</v>
      </c>
      <c r="H76" s="3">
        <v>26295</v>
      </c>
      <c r="I76" s="3">
        <v>226008</v>
      </c>
      <c r="J76" s="3">
        <v>66</v>
      </c>
      <c r="K76" s="3">
        <v>90845</v>
      </c>
      <c r="L76" s="3">
        <v>253482</v>
      </c>
      <c r="M76" s="3">
        <v>20</v>
      </c>
      <c r="N76" s="3">
        <v>28655</v>
      </c>
      <c r="O76" s="3">
        <v>80337</v>
      </c>
      <c r="P76" s="3">
        <v>40</v>
      </c>
      <c r="Q76" s="3">
        <v>17</v>
      </c>
      <c r="R76" s="3">
        <v>68146</v>
      </c>
      <c r="S76" s="3">
        <v>1013</v>
      </c>
      <c r="T76" s="3">
        <v>2066475</v>
      </c>
      <c r="U76" s="3">
        <v>126222</v>
      </c>
      <c r="V76" s="3">
        <v>-180</v>
      </c>
      <c r="W76" s="3">
        <v>0</v>
      </c>
      <c r="X76" s="3">
        <v>0</v>
      </c>
      <c r="AA76" t="s">
        <v>51</v>
      </c>
      <c r="AB76" s="3">
        <v>2302555</v>
      </c>
      <c r="AC76" s="3">
        <v>323441.14</v>
      </c>
      <c r="AD76" s="3">
        <v>184565.15236500007</v>
      </c>
      <c r="AE76" s="3">
        <v>138875.98763499994</v>
      </c>
      <c r="AF76" s="3">
        <v>75.244966807361209</v>
      </c>
      <c r="AG76" s="3">
        <v>42.937020205592873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s="3">
        <v>29091.200000000001</v>
      </c>
      <c r="AO76" s="3">
        <v>669007.00000000012</v>
      </c>
      <c r="AP76" s="3">
        <v>541848.07500000007</v>
      </c>
      <c r="AQ76" s="3">
        <v>127158.92500000005</v>
      </c>
      <c r="AR76" s="3">
        <v>23.467634354888137</v>
      </c>
      <c r="AS76" s="3">
        <v>19.007114275336434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</row>
    <row r="77" spans="1:51" hidden="1" x14ac:dyDescent="0.2">
      <c r="A77">
        <v>76</v>
      </c>
      <c r="B77" s="4">
        <v>46098</v>
      </c>
      <c r="C77" s="3">
        <v>10212</v>
      </c>
      <c r="D77" s="3">
        <v>894995.15</v>
      </c>
      <c r="E77" s="3">
        <v>42080.5</v>
      </c>
      <c r="F77" s="3">
        <v>363168.51500000007</v>
      </c>
      <c r="G77" s="3">
        <v>9</v>
      </c>
      <c r="H77" s="3">
        <v>30730</v>
      </c>
      <c r="I77" s="3">
        <v>274418</v>
      </c>
      <c r="J77" s="3">
        <v>68</v>
      </c>
      <c r="K77" s="3">
        <v>100205</v>
      </c>
      <c r="L77" s="3">
        <v>254431</v>
      </c>
      <c r="M77" s="3">
        <v>22</v>
      </c>
      <c r="N77" s="3">
        <v>28165</v>
      </c>
      <c r="O77" s="3">
        <v>94003</v>
      </c>
      <c r="P77" s="3">
        <v>150</v>
      </c>
      <c r="Q77" s="3">
        <v>9</v>
      </c>
      <c r="R77" s="3">
        <v>35443</v>
      </c>
      <c r="S77" s="3">
        <v>708</v>
      </c>
      <c r="T77" s="3">
        <v>2957435</v>
      </c>
      <c r="U77" s="3">
        <v>94168</v>
      </c>
      <c r="V77" s="3">
        <v>0</v>
      </c>
      <c r="W77" s="3">
        <v>0</v>
      </c>
      <c r="X77" s="3">
        <v>4.97</v>
      </c>
      <c r="AA77" t="s">
        <v>51</v>
      </c>
      <c r="AB77" s="3">
        <v>671025</v>
      </c>
      <c r="AC77" s="3">
        <v>193599.35</v>
      </c>
      <c r="AD77" s="3">
        <v>67695.284400000004</v>
      </c>
      <c r="AE77" s="3">
        <v>125904.0656</v>
      </c>
      <c r="AF77" s="3">
        <v>185.98646377797033</v>
      </c>
      <c r="AG77" s="3">
        <v>65.033310080844799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s="3">
        <v>17032.29</v>
      </c>
      <c r="AO77" s="3">
        <v>407555.08000000007</v>
      </c>
      <c r="AP77" s="3">
        <v>281861.32499999984</v>
      </c>
      <c r="AQ77" s="3">
        <v>125693.75500000024</v>
      </c>
      <c r="AR77" s="3">
        <v>44.594182972779365</v>
      </c>
      <c r="AS77" s="3">
        <v>30.840924618090938</v>
      </c>
      <c r="AT77" s="3">
        <v>2</v>
      </c>
      <c r="AU77" s="3">
        <v>1400</v>
      </c>
      <c r="AV77" s="3">
        <v>0</v>
      </c>
      <c r="AW77" s="3">
        <v>1400</v>
      </c>
      <c r="AX77" s="3">
        <v>0</v>
      </c>
      <c r="AY77" s="3">
        <v>100</v>
      </c>
    </row>
    <row r="78" spans="1:51" hidden="1" x14ac:dyDescent="0.2">
      <c r="A78">
        <v>77</v>
      </c>
      <c r="B78" s="4">
        <v>46099</v>
      </c>
      <c r="C78" s="3">
        <v>41156.300000000003</v>
      </c>
      <c r="D78" s="3">
        <v>288447.65000000002</v>
      </c>
      <c r="E78" s="3">
        <v>66399.5</v>
      </c>
      <c r="F78" s="3">
        <v>377843.25499999995</v>
      </c>
      <c r="G78" s="3">
        <v>6</v>
      </c>
      <c r="H78" s="3">
        <v>19770</v>
      </c>
      <c r="I78" s="3">
        <v>176546</v>
      </c>
      <c r="J78" s="3">
        <v>49</v>
      </c>
      <c r="K78" s="3">
        <v>75250</v>
      </c>
      <c r="L78" s="3">
        <v>201011</v>
      </c>
      <c r="M78" s="3">
        <v>17</v>
      </c>
      <c r="N78" s="3">
        <v>25978</v>
      </c>
      <c r="O78" s="3">
        <v>88543</v>
      </c>
      <c r="P78" s="3">
        <v>132</v>
      </c>
      <c r="Q78" s="3">
        <v>18</v>
      </c>
      <c r="R78" s="3">
        <v>73782</v>
      </c>
      <c r="S78" s="3">
        <v>779</v>
      </c>
      <c r="T78" s="3">
        <v>2842122</v>
      </c>
      <c r="U78" s="3">
        <v>158403</v>
      </c>
      <c r="V78" s="3">
        <v>37782</v>
      </c>
      <c r="W78" s="3">
        <v>1.1200000000000001</v>
      </c>
      <c r="X78" s="3">
        <v>12.67</v>
      </c>
      <c r="AA78" t="s">
        <v>51</v>
      </c>
      <c r="AB78" s="3">
        <v>3124426</v>
      </c>
      <c r="AC78" s="3">
        <v>155614.71</v>
      </c>
      <c r="AD78" s="3">
        <v>97848.97575399997</v>
      </c>
      <c r="AE78" s="3">
        <v>57765.734246000022</v>
      </c>
      <c r="AF78" s="3">
        <v>59.035604410645668</v>
      </c>
      <c r="AG78" s="3">
        <v>37.12099855212918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</row>
    <row r="79" spans="1:51" hidden="1" x14ac:dyDescent="0.2">
      <c r="A79">
        <v>78</v>
      </c>
      <c r="B79" s="4">
        <v>46100</v>
      </c>
      <c r="C79" s="3">
        <v>240</v>
      </c>
      <c r="D79" s="3">
        <v>80532</v>
      </c>
      <c r="E79" s="3">
        <v>14670</v>
      </c>
      <c r="F79" s="3">
        <v>60328.2</v>
      </c>
      <c r="G79" s="3"/>
      <c r="H79" s="3"/>
      <c r="I79" s="3"/>
      <c r="J79" s="3">
        <v>104</v>
      </c>
      <c r="K79" s="3">
        <v>153680</v>
      </c>
      <c r="L79" s="3">
        <v>389570</v>
      </c>
      <c r="M79" s="3">
        <v>7</v>
      </c>
      <c r="N79" s="3">
        <v>9035</v>
      </c>
      <c r="O79" s="3">
        <v>29483</v>
      </c>
      <c r="P79" s="3">
        <v>175</v>
      </c>
      <c r="Q79" s="3">
        <v>12</v>
      </c>
      <c r="R79" s="3">
        <v>47604</v>
      </c>
      <c r="S79" s="3">
        <v>422</v>
      </c>
      <c r="T79" s="3">
        <v>693100</v>
      </c>
      <c r="U79" s="3">
        <v>51766</v>
      </c>
      <c r="V79" s="3">
        <v>0</v>
      </c>
      <c r="W79" s="3">
        <v>0</v>
      </c>
      <c r="X79" s="3">
        <v>3.37</v>
      </c>
      <c r="AA79" t="s">
        <v>51</v>
      </c>
      <c r="AB79" s="3">
        <v>1908750</v>
      </c>
      <c r="AC79" s="3">
        <v>227779.32</v>
      </c>
      <c r="AD79" s="3">
        <v>121278.42115000001</v>
      </c>
      <c r="AE79" s="3">
        <v>106500.89885</v>
      </c>
      <c r="AF79" s="3">
        <v>87.815208872382314</v>
      </c>
      <c r="AG79" s="3">
        <v>46.756175604528103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s="3">
        <v>931.67</v>
      </c>
      <c r="AO79" s="3">
        <v>25913.43</v>
      </c>
      <c r="AP79" s="3">
        <v>22455.441999999999</v>
      </c>
      <c r="AQ79" s="3">
        <v>3457.9880000000012</v>
      </c>
      <c r="AR79" s="3">
        <v>15.399331707654659</v>
      </c>
      <c r="AS79" s="3">
        <v>13.344385517471061</v>
      </c>
      <c r="AT79" s="3">
        <v>417.72</v>
      </c>
      <c r="AU79" s="3">
        <v>11278.44</v>
      </c>
      <c r="AV79" s="3">
        <v>0</v>
      </c>
      <c r="AW79" s="3">
        <v>11278.44</v>
      </c>
      <c r="AX79" s="3">
        <v>0</v>
      </c>
      <c r="AY79" s="3">
        <v>100</v>
      </c>
    </row>
    <row r="80" spans="1:51" hidden="1" x14ac:dyDescent="0.2">
      <c r="A80">
        <v>79</v>
      </c>
      <c r="B80" s="4">
        <v>46101</v>
      </c>
      <c r="C80" s="3">
        <v>2</v>
      </c>
      <c r="D80" s="3">
        <v>1134</v>
      </c>
      <c r="E80" s="3">
        <v>32649.5</v>
      </c>
      <c r="F80" s="3">
        <v>278737.73499999999</v>
      </c>
      <c r="G80" s="3">
        <v>5</v>
      </c>
      <c r="H80" s="3">
        <v>16950</v>
      </c>
      <c r="I80" s="3">
        <v>157125</v>
      </c>
      <c r="J80" s="3">
        <v>98</v>
      </c>
      <c r="K80" s="3">
        <v>112744</v>
      </c>
      <c r="L80" s="3">
        <v>305165</v>
      </c>
      <c r="M80" s="3">
        <v>18</v>
      </c>
      <c r="N80" s="3">
        <v>25130</v>
      </c>
      <c r="O80" s="3">
        <v>76120</v>
      </c>
      <c r="P80" s="3">
        <v>1000</v>
      </c>
      <c r="Q80" s="3">
        <v>16</v>
      </c>
      <c r="R80" s="3">
        <v>59345</v>
      </c>
      <c r="S80" s="3">
        <v>518</v>
      </c>
      <c r="T80" s="3">
        <v>1176450</v>
      </c>
      <c r="U80" s="3">
        <v>90762</v>
      </c>
      <c r="V80" s="3">
        <v>0</v>
      </c>
      <c r="W80" s="3">
        <v>0</v>
      </c>
      <c r="X80" s="3">
        <v>8.6300000000000008</v>
      </c>
      <c r="AA80" t="s">
        <v>51</v>
      </c>
      <c r="AB80" s="3">
        <v>1053120</v>
      </c>
      <c r="AC80" s="3">
        <v>221626.13999999998</v>
      </c>
      <c r="AD80" s="3">
        <v>92807.911060000013</v>
      </c>
      <c r="AE80" s="3">
        <v>128818.22893999997</v>
      </c>
      <c r="AF80" s="3">
        <v>138.80091413405415</v>
      </c>
      <c r="AG80" s="3">
        <v>58.124113401063603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s="3">
        <v>19194.170000000016</v>
      </c>
      <c r="AO80" s="3">
        <v>447461.00000000012</v>
      </c>
      <c r="AP80" s="3">
        <v>341276.2699999999</v>
      </c>
      <c r="AQ80" s="3">
        <v>106184.73000000021</v>
      </c>
      <c r="AR80" s="3">
        <v>31.114009186750735</v>
      </c>
      <c r="AS80" s="3">
        <v>23.730499417826401</v>
      </c>
      <c r="AT80" s="3">
        <v>9</v>
      </c>
      <c r="AU80" s="3">
        <v>6550</v>
      </c>
      <c r="AV80" s="3">
        <v>0</v>
      </c>
      <c r="AW80" s="3">
        <v>6550</v>
      </c>
      <c r="AX80" s="3">
        <v>0</v>
      </c>
      <c r="AY80" s="3">
        <v>100</v>
      </c>
    </row>
    <row r="81" spans="1:51" hidden="1" x14ac:dyDescent="0.2">
      <c r="A81">
        <v>80</v>
      </c>
      <c r="B81" s="4">
        <v>46102</v>
      </c>
      <c r="C81" s="3">
        <v>29190</v>
      </c>
      <c r="D81" s="3">
        <v>101235.5</v>
      </c>
      <c r="E81" s="3">
        <v>53528</v>
      </c>
      <c r="F81" s="3">
        <v>429999.90000000008</v>
      </c>
      <c r="G81" s="3">
        <v>10</v>
      </c>
      <c r="H81" s="3">
        <v>32720</v>
      </c>
      <c r="I81" s="3">
        <v>307850</v>
      </c>
      <c r="J81" s="3">
        <v>71</v>
      </c>
      <c r="K81" s="3">
        <v>104475</v>
      </c>
      <c r="L81" s="3">
        <v>297913</v>
      </c>
      <c r="M81" s="3">
        <v>17</v>
      </c>
      <c r="N81" s="3">
        <v>22700</v>
      </c>
      <c r="O81" s="3">
        <v>69070</v>
      </c>
      <c r="P81" s="3">
        <v>120</v>
      </c>
      <c r="Q81" s="3">
        <v>7</v>
      </c>
      <c r="R81" s="3">
        <v>16932</v>
      </c>
      <c r="S81" s="3">
        <v>968</v>
      </c>
      <c r="T81" s="3">
        <v>1481520</v>
      </c>
      <c r="U81" s="3">
        <v>112331</v>
      </c>
      <c r="V81" s="3">
        <v>0</v>
      </c>
      <c r="W81" s="3">
        <v>0</v>
      </c>
      <c r="X81" s="3">
        <v>17.75</v>
      </c>
      <c r="AA81" t="s">
        <v>51</v>
      </c>
      <c r="AB81" s="3">
        <v>918370</v>
      </c>
      <c r="AC81" s="3">
        <v>200998.34</v>
      </c>
      <c r="AD81" s="3">
        <v>102270.24726999999</v>
      </c>
      <c r="AE81" s="3">
        <v>98728.092730000004</v>
      </c>
      <c r="AF81" s="3">
        <v>96.536476018632797</v>
      </c>
      <c r="AG81" s="3">
        <v>49.118859752772096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s="3">
        <v>9616.119999999999</v>
      </c>
      <c r="AO81" s="3">
        <v>228868.16</v>
      </c>
      <c r="AP81" s="3">
        <v>171237.69600000003</v>
      </c>
      <c r="AQ81" s="3">
        <v>57630.463999999978</v>
      </c>
      <c r="AR81" s="3">
        <v>33.655243761280204</v>
      </c>
      <c r="AS81" s="3">
        <v>25.180638495105644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</row>
    <row r="82" spans="1:51" hidden="1" x14ac:dyDescent="0.2">
      <c r="A82">
        <v>81</v>
      </c>
      <c r="B82" s="4">
        <v>46103</v>
      </c>
      <c r="C82" s="3">
        <v>800</v>
      </c>
      <c r="D82" s="3">
        <v>177600</v>
      </c>
      <c r="E82" s="3">
        <v>10280</v>
      </c>
      <c r="F82" s="3">
        <v>71155.3</v>
      </c>
      <c r="G82" s="3"/>
      <c r="H82" s="3"/>
      <c r="I82" s="3"/>
      <c r="J82" s="3">
        <v>7</v>
      </c>
      <c r="K82" s="3">
        <v>9980</v>
      </c>
      <c r="L82" s="3">
        <v>27616</v>
      </c>
      <c r="M82" s="3">
        <v>3</v>
      </c>
      <c r="N82" s="3">
        <v>5430</v>
      </c>
      <c r="O82" s="3">
        <v>16141</v>
      </c>
      <c r="P82" s="3">
        <v>0</v>
      </c>
      <c r="Q82" s="3"/>
      <c r="R82" s="3"/>
      <c r="S82" s="3">
        <v>12</v>
      </c>
      <c r="T82" s="3">
        <v>138000</v>
      </c>
      <c r="U82" s="3">
        <v>4882</v>
      </c>
      <c r="V82" s="3">
        <v>0</v>
      </c>
      <c r="W82" s="3">
        <v>0</v>
      </c>
      <c r="X82" s="3">
        <v>0</v>
      </c>
      <c r="AA82" t="s">
        <v>51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</row>
    <row r="83" spans="1:51" hidden="1" x14ac:dyDescent="0.2">
      <c r="A83">
        <v>82</v>
      </c>
      <c r="B83" s="4">
        <v>46104</v>
      </c>
      <c r="C83" s="3">
        <v>47200</v>
      </c>
      <c r="D83" s="3">
        <v>126147.38</v>
      </c>
      <c r="E83" s="3">
        <v>51313.7</v>
      </c>
      <c r="F83" s="3">
        <v>291587.34999999998</v>
      </c>
      <c r="G83" s="3">
        <v>5</v>
      </c>
      <c r="H83" s="3">
        <v>13250</v>
      </c>
      <c r="I83" s="3">
        <v>131393</v>
      </c>
      <c r="J83" s="3">
        <v>88</v>
      </c>
      <c r="K83" s="3">
        <v>112935</v>
      </c>
      <c r="L83" s="3">
        <v>296835</v>
      </c>
      <c r="M83" s="3">
        <v>14</v>
      </c>
      <c r="N83" s="3">
        <v>19570</v>
      </c>
      <c r="O83" s="3">
        <v>50324</v>
      </c>
      <c r="P83" s="3">
        <v>340</v>
      </c>
      <c r="Q83" s="3">
        <v>12</v>
      </c>
      <c r="R83" s="3">
        <v>47275</v>
      </c>
      <c r="S83" s="3">
        <v>528</v>
      </c>
      <c r="T83" s="3">
        <v>1751132</v>
      </c>
      <c r="U83" s="3">
        <v>73073</v>
      </c>
      <c r="V83" s="3">
        <v>-7924</v>
      </c>
      <c r="W83" s="3">
        <v>0</v>
      </c>
      <c r="X83" s="3">
        <v>5.07</v>
      </c>
      <c r="AA83" t="s">
        <v>51</v>
      </c>
      <c r="AB83" s="3">
        <v>2904824</v>
      </c>
      <c r="AC83" s="3">
        <v>79190.259999999995</v>
      </c>
      <c r="AD83" s="3">
        <v>60805.71465200001</v>
      </c>
      <c r="AE83" s="3">
        <v>18384.545347999985</v>
      </c>
      <c r="AF83" s="3">
        <v>30.234897251380772</v>
      </c>
      <c r="AG83" s="3">
        <v>23.215664840600329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s="3">
        <v>4745.5599999999986</v>
      </c>
      <c r="AO83" s="3">
        <v>110072.42</v>
      </c>
      <c r="AP83" s="3">
        <v>93085.214999999967</v>
      </c>
      <c r="AQ83" s="3">
        <v>16987.205000000031</v>
      </c>
      <c r="AR83" s="3">
        <v>18.249090363061455</v>
      </c>
      <c r="AS83" s="3">
        <v>15.432753272799882</v>
      </c>
      <c r="AT83" s="3">
        <v>3543.2</v>
      </c>
      <c r="AU83" s="3">
        <v>52304</v>
      </c>
      <c r="AV83" s="3">
        <v>0</v>
      </c>
      <c r="AW83" s="3">
        <v>52304</v>
      </c>
      <c r="AX83" s="3">
        <v>0</v>
      </c>
      <c r="AY83" s="3">
        <v>100</v>
      </c>
    </row>
    <row r="84" spans="1:51" hidden="1" x14ac:dyDescent="0.2">
      <c r="A84">
        <v>83</v>
      </c>
      <c r="B84" s="4">
        <v>46105</v>
      </c>
      <c r="C84" s="3">
        <v>21670</v>
      </c>
      <c r="D84" s="3">
        <v>506794.4</v>
      </c>
      <c r="E84" s="3">
        <v>50</v>
      </c>
      <c r="F84" s="3">
        <v>19650</v>
      </c>
      <c r="G84" s="3"/>
      <c r="H84" s="3"/>
      <c r="I84" s="3"/>
      <c r="J84" s="3">
        <v>61</v>
      </c>
      <c r="K84" s="3">
        <v>74340</v>
      </c>
      <c r="L84" s="3">
        <v>208340</v>
      </c>
      <c r="M84" s="3">
        <v>22</v>
      </c>
      <c r="N84" s="3">
        <v>32435</v>
      </c>
      <c r="O84" s="3">
        <v>106447</v>
      </c>
      <c r="P84" s="3">
        <v>150</v>
      </c>
      <c r="Q84" s="3">
        <v>22</v>
      </c>
      <c r="R84" s="3">
        <v>103855</v>
      </c>
      <c r="S84" s="3">
        <v>537</v>
      </c>
      <c r="T84" s="3">
        <v>1568400</v>
      </c>
      <c r="U84" s="3">
        <v>87036</v>
      </c>
      <c r="V84" s="3">
        <v>5460</v>
      </c>
      <c r="W84" s="3">
        <v>0.33</v>
      </c>
      <c r="X84" s="3">
        <v>1.57</v>
      </c>
      <c r="AA84" t="s">
        <v>51</v>
      </c>
      <c r="AB84" s="3">
        <v>1300000</v>
      </c>
      <c r="AC84" s="3">
        <v>49400</v>
      </c>
      <c r="AD84" s="3">
        <v>36691.847999999998</v>
      </c>
      <c r="AE84" s="3">
        <v>12708.152000000002</v>
      </c>
      <c r="AF84" s="3">
        <v>34.634810435277075</v>
      </c>
      <c r="AG84" s="3">
        <v>25.725004048582999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s="3">
        <v>13960.1</v>
      </c>
      <c r="AO84" s="3">
        <v>337427.86</v>
      </c>
      <c r="AP84" s="3">
        <v>258294.97500000003</v>
      </c>
      <c r="AQ84" s="3">
        <v>79132.884999999951</v>
      </c>
      <c r="AR84" s="3">
        <v>30.63663356207373</v>
      </c>
      <c r="AS84" s="3">
        <v>23.45179351817599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</row>
    <row r="85" spans="1:51" hidden="1" x14ac:dyDescent="0.2">
      <c r="A85">
        <v>84</v>
      </c>
      <c r="B85" s="4">
        <v>46106</v>
      </c>
      <c r="C85" s="3"/>
      <c r="D85" s="3"/>
      <c r="E85" s="3">
        <v>31395</v>
      </c>
      <c r="F85" s="3">
        <v>207974.63999999998</v>
      </c>
      <c r="G85" s="3">
        <v>4</v>
      </c>
      <c r="H85" s="3">
        <v>11850</v>
      </c>
      <c r="I85" s="3">
        <v>119803</v>
      </c>
      <c r="J85" s="3">
        <v>114</v>
      </c>
      <c r="K85" s="3">
        <v>162594</v>
      </c>
      <c r="L85" s="3">
        <v>385255</v>
      </c>
      <c r="M85" s="3">
        <v>19</v>
      </c>
      <c r="N85" s="3">
        <v>29077</v>
      </c>
      <c r="O85" s="3">
        <v>71824</v>
      </c>
      <c r="P85" s="3">
        <v>220</v>
      </c>
      <c r="Q85" s="3">
        <v>5</v>
      </c>
      <c r="R85" s="3">
        <v>8763</v>
      </c>
      <c r="S85" s="3">
        <v>700</v>
      </c>
      <c r="T85" s="3">
        <v>1600600</v>
      </c>
      <c r="U85" s="3">
        <v>124364</v>
      </c>
      <c r="V85" s="3">
        <v>17200</v>
      </c>
      <c r="W85" s="3">
        <v>1.01</v>
      </c>
      <c r="X85" s="3">
        <v>0</v>
      </c>
      <c r="AA85" t="s">
        <v>51</v>
      </c>
      <c r="AB85" s="3">
        <v>2097965</v>
      </c>
      <c r="AC85" s="3">
        <v>343358.65</v>
      </c>
      <c r="AD85" s="3">
        <v>160595.39012500001</v>
      </c>
      <c r="AE85" s="3">
        <v>182763.25987500002</v>
      </c>
      <c r="AF85" s="3">
        <v>113.80355297418288</v>
      </c>
      <c r="AG85" s="3">
        <v>53.22809251346952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</row>
    <row r="86" spans="1:51" hidden="1" x14ac:dyDescent="0.2">
      <c r="A86">
        <v>85</v>
      </c>
      <c r="B86" s="4">
        <v>46107</v>
      </c>
      <c r="C86" s="3">
        <v>3945</v>
      </c>
      <c r="D86" s="3">
        <v>19251.599999999999</v>
      </c>
      <c r="E86" s="3">
        <v>2452</v>
      </c>
      <c r="F86" s="3">
        <v>283505.8</v>
      </c>
      <c r="G86" s="3">
        <v>8</v>
      </c>
      <c r="H86" s="3">
        <v>26470</v>
      </c>
      <c r="I86" s="3">
        <v>254392</v>
      </c>
      <c r="J86" s="3">
        <v>62</v>
      </c>
      <c r="K86" s="3">
        <v>73975</v>
      </c>
      <c r="L86" s="3">
        <v>179027</v>
      </c>
      <c r="M86" s="3">
        <v>27</v>
      </c>
      <c r="N86" s="3">
        <v>35045</v>
      </c>
      <c r="O86" s="3">
        <v>94324</v>
      </c>
      <c r="P86" s="3">
        <v>70</v>
      </c>
      <c r="Q86" s="3">
        <v>17</v>
      </c>
      <c r="R86" s="3">
        <v>56253</v>
      </c>
      <c r="S86" s="3">
        <v>614</v>
      </c>
      <c r="T86" s="3">
        <v>1899448</v>
      </c>
      <c r="U86" s="3">
        <v>163081</v>
      </c>
      <c r="V86" s="3">
        <v>10820</v>
      </c>
      <c r="W86" s="3">
        <v>0.53</v>
      </c>
      <c r="X86" s="3">
        <v>1</v>
      </c>
      <c r="AA86" t="s">
        <v>51</v>
      </c>
      <c r="AB86" s="3">
        <v>1322628</v>
      </c>
      <c r="AC86" s="3">
        <v>153587.07</v>
      </c>
      <c r="AD86" s="3">
        <v>85849.560112000021</v>
      </c>
      <c r="AE86" s="3">
        <v>67737.509887999986</v>
      </c>
      <c r="AF86" s="3">
        <v>78.902570729109257</v>
      </c>
      <c r="AG86" s="3">
        <v>44.103653965141717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s="3">
        <v>9887.2700000000023</v>
      </c>
      <c r="AO86" s="3">
        <v>240877.1999999999</v>
      </c>
      <c r="AP86" s="3">
        <v>183098.07499999998</v>
      </c>
      <c r="AQ86" s="3">
        <v>57779.124999999913</v>
      </c>
      <c r="AR86" s="3">
        <v>31.556380371557658</v>
      </c>
      <c r="AS86" s="3">
        <v>23.986963066658006</v>
      </c>
      <c r="AT86" s="3">
        <v>565.54</v>
      </c>
      <c r="AU86" s="3">
        <v>14900.88</v>
      </c>
      <c r="AV86" s="3">
        <v>0</v>
      </c>
      <c r="AW86" s="3">
        <v>14900.88</v>
      </c>
      <c r="AX86" s="3">
        <v>0</v>
      </c>
      <c r="AY86" s="3">
        <v>100</v>
      </c>
    </row>
    <row r="87" spans="1:51" hidden="1" x14ac:dyDescent="0.2">
      <c r="A87">
        <v>86</v>
      </c>
      <c r="B87" s="4">
        <v>46108</v>
      </c>
      <c r="C87" s="3">
        <v>31318</v>
      </c>
      <c r="D87" s="3">
        <v>58857.29</v>
      </c>
      <c r="E87" s="3">
        <v>56855.5</v>
      </c>
      <c r="F87" s="3">
        <v>357297.36499999999</v>
      </c>
      <c r="G87" s="3">
        <v>9</v>
      </c>
      <c r="H87" s="3">
        <v>28370</v>
      </c>
      <c r="I87" s="3">
        <v>261035</v>
      </c>
      <c r="J87" s="3">
        <v>37</v>
      </c>
      <c r="K87" s="3">
        <v>54568</v>
      </c>
      <c r="L87" s="3">
        <v>86043</v>
      </c>
      <c r="M87" s="3">
        <v>28</v>
      </c>
      <c r="N87" s="3">
        <v>45405</v>
      </c>
      <c r="O87" s="3">
        <v>100671</v>
      </c>
      <c r="P87" s="3">
        <v>30</v>
      </c>
      <c r="Q87" s="3">
        <v>5</v>
      </c>
      <c r="R87" s="3">
        <v>22342</v>
      </c>
      <c r="S87" s="3">
        <v>581</v>
      </c>
      <c r="T87" s="3">
        <v>2185732</v>
      </c>
      <c r="U87" s="3">
        <v>128360</v>
      </c>
      <c r="V87" s="3">
        <v>-3941</v>
      </c>
      <c r="W87" s="3">
        <v>0</v>
      </c>
      <c r="X87" s="3">
        <v>11.11</v>
      </c>
      <c r="AA87" t="s">
        <v>51</v>
      </c>
      <c r="AB87" s="3">
        <v>954060</v>
      </c>
      <c r="AC87" s="3">
        <v>106243.34</v>
      </c>
      <c r="AD87" s="3">
        <v>62380.536680000005</v>
      </c>
      <c r="AE87" s="3">
        <v>43862.803319999992</v>
      </c>
      <c r="AF87" s="3">
        <v>70.314886107837808</v>
      </c>
      <c r="AG87" s="3">
        <v>41.285226273948084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s="3">
        <v>1755.2299999999996</v>
      </c>
      <c r="AO87" s="3">
        <v>47848.869999999995</v>
      </c>
      <c r="AP87" s="3">
        <v>40004.69</v>
      </c>
      <c r="AQ87" s="3">
        <v>7844.179999999993</v>
      </c>
      <c r="AR87" s="3">
        <v>19.608150944301762</v>
      </c>
      <c r="AS87" s="3">
        <v>16.393657781260025</v>
      </c>
      <c r="AT87" s="3">
        <v>4</v>
      </c>
      <c r="AU87" s="3">
        <v>3000</v>
      </c>
      <c r="AV87" s="3">
        <v>0</v>
      </c>
      <c r="AW87" s="3">
        <v>3000</v>
      </c>
      <c r="AX87" s="3">
        <v>0</v>
      </c>
      <c r="AY87" s="3">
        <v>100</v>
      </c>
    </row>
    <row r="88" spans="1:51" hidden="1" x14ac:dyDescent="0.2">
      <c r="A88">
        <v>87</v>
      </c>
      <c r="B88" s="4">
        <v>46109</v>
      </c>
      <c r="C88" s="3">
        <v>1200</v>
      </c>
      <c r="D88" s="3">
        <v>266400</v>
      </c>
      <c r="E88" s="3">
        <v>1603.5</v>
      </c>
      <c r="F88" s="3">
        <v>178301.23500000002</v>
      </c>
      <c r="G88" s="3">
        <v>8</v>
      </c>
      <c r="H88" s="3">
        <v>24900</v>
      </c>
      <c r="I88" s="3">
        <v>222355</v>
      </c>
      <c r="J88" s="3"/>
      <c r="K88" s="3"/>
      <c r="L88" s="3"/>
      <c r="M88" s="3">
        <v>31</v>
      </c>
      <c r="N88" s="3">
        <v>46865</v>
      </c>
      <c r="O88" s="3">
        <v>118448</v>
      </c>
      <c r="P88" s="3">
        <v>0</v>
      </c>
      <c r="Q88" s="3">
        <v>6</v>
      </c>
      <c r="R88" s="3">
        <v>20016</v>
      </c>
      <c r="S88" s="3">
        <v>659</v>
      </c>
      <c r="T88" s="3">
        <v>2347030</v>
      </c>
      <c r="U88" s="3">
        <v>146645</v>
      </c>
      <c r="V88" s="3">
        <v>56582</v>
      </c>
      <c r="W88" s="3">
        <v>2.2400000000000002</v>
      </c>
      <c r="X88" s="3">
        <v>2.91</v>
      </c>
      <c r="AA88" t="s">
        <v>51</v>
      </c>
      <c r="AB88" s="3">
        <v>4246802</v>
      </c>
      <c r="AC88" s="3">
        <v>562670.70000000007</v>
      </c>
      <c r="AD88" s="3">
        <v>326472.56777000002</v>
      </c>
      <c r="AE88" s="3">
        <v>236198.13223000005</v>
      </c>
      <c r="AF88" s="3">
        <v>72.348538758822045</v>
      </c>
      <c r="AG88" s="3">
        <v>41.978040127200508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s="3">
        <v>5743.6</v>
      </c>
      <c r="AO88" s="3">
        <v>137846.40000000002</v>
      </c>
      <c r="AP88" s="3">
        <v>102016.53999999998</v>
      </c>
      <c r="AQ88" s="3">
        <v>35829.860000000044</v>
      </c>
      <c r="AR88" s="3">
        <v>35.121618514017484</v>
      </c>
      <c r="AS88" s="3">
        <v>25.992597557861529</v>
      </c>
      <c r="AT88" s="3">
        <v>1440</v>
      </c>
      <c r="AU88" s="3">
        <v>38880</v>
      </c>
      <c r="AV88" s="3">
        <v>0</v>
      </c>
      <c r="AW88" s="3">
        <v>38880</v>
      </c>
      <c r="AX88" s="3">
        <v>0</v>
      </c>
      <c r="AY88" s="3">
        <v>100</v>
      </c>
    </row>
    <row r="89" spans="1:51" hidden="1" x14ac:dyDescent="0.2">
      <c r="A89">
        <v>88</v>
      </c>
      <c r="B89" s="4">
        <v>46110</v>
      </c>
      <c r="C89" s="3"/>
      <c r="D89" s="3"/>
      <c r="E89" s="3">
        <v>0</v>
      </c>
      <c r="F89" s="3">
        <v>0</v>
      </c>
      <c r="G89" s="3"/>
      <c r="H89" s="3"/>
      <c r="I89" s="3"/>
      <c r="J89" s="3">
        <v>28</v>
      </c>
      <c r="K89" s="3">
        <v>56025</v>
      </c>
      <c r="L89" s="3">
        <v>165050</v>
      </c>
      <c r="M89" s="3">
        <v>5</v>
      </c>
      <c r="N89" s="3">
        <v>7485</v>
      </c>
      <c r="O89" s="3">
        <v>22382</v>
      </c>
      <c r="P89" s="3">
        <v>20</v>
      </c>
      <c r="Q89" s="3"/>
      <c r="R89" s="3"/>
      <c r="S89" s="3">
        <v>15</v>
      </c>
      <c r="T89" s="3">
        <v>65400</v>
      </c>
      <c r="U89" s="3">
        <v>3123</v>
      </c>
      <c r="V89" s="3">
        <v>58400</v>
      </c>
      <c r="W89" s="3">
        <v>22.42</v>
      </c>
      <c r="X89" s="3">
        <v>0</v>
      </c>
      <c r="AA89" t="s">
        <v>51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</row>
    <row r="90" spans="1:51" hidden="1" x14ac:dyDescent="0.2">
      <c r="A90">
        <v>89</v>
      </c>
      <c r="B90" s="4">
        <v>46111</v>
      </c>
      <c r="C90" s="3">
        <v>6853.9</v>
      </c>
      <c r="D90" s="3">
        <v>916224.96</v>
      </c>
      <c r="E90" s="3">
        <v>5953.5</v>
      </c>
      <c r="F90" s="3">
        <v>289609.28000000003</v>
      </c>
      <c r="G90" s="3">
        <v>8</v>
      </c>
      <c r="H90" s="3">
        <v>23850</v>
      </c>
      <c r="I90" s="3">
        <v>244651</v>
      </c>
      <c r="J90" s="3">
        <v>59</v>
      </c>
      <c r="K90" s="3">
        <v>86750</v>
      </c>
      <c r="L90" s="3">
        <v>230690</v>
      </c>
      <c r="M90" s="3">
        <v>14</v>
      </c>
      <c r="N90" s="3">
        <v>16755</v>
      </c>
      <c r="O90" s="3">
        <v>40001</v>
      </c>
      <c r="P90" s="3">
        <v>150</v>
      </c>
      <c r="Q90" s="3">
        <v>9</v>
      </c>
      <c r="R90" s="3">
        <v>28985</v>
      </c>
      <c r="S90" s="3">
        <v>399</v>
      </c>
      <c r="T90" s="3">
        <v>1903492</v>
      </c>
      <c r="U90" s="3">
        <v>92273</v>
      </c>
      <c r="V90" s="3">
        <v>27650</v>
      </c>
      <c r="W90" s="3">
        <v>1.37</v>
      </c>
      <c r="X90" s="3">
        <v>0</v>
      </c>
      <c r="AA90" t="s">
        <v>51</v>
      </c>
      <c r="AB90" s="3">
        <v>468472</v>
      </c>
      <c r="AC90" s="3">
        <v>47173.579999999994</v>
      </c>
      <c r="AD90" s="3">
        <v>38196.122367999989</v>
      </c>
      <c r="AE90" s="3">
        <v>8977.4576320000051</v>
      </c>
      <c r="AF90" s="3">
        <v>23.50358380755727</v>
      </c>
      <c r="AG90" s="3">
        <v>19.030689703855433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s="3">
        <v>9169.65</v>
      </c>
      <c r="AO90" s="3">
        <v>220071.6</v>
      </c>
      <c r="AP90" s="3">
        <v>168630.99</v>
      </c>
      <c r="AQ90" s="3">
        <v>51440.610000000015</v>
      </c>
      <c r="AR90" s="3">
        <v>30.504837811839934</v>
      </c>
      <c r="AS90" s="3">
        <v>23.374488121138761</v>
      </c>
      <c r="AT90" s="3">
        <v>750.94</v>
      </c>
      <c r="AU90" s="3">
        <v>19073.260000000002</v>
      </c>
      <c r="AV90" s="3">
        <v>0</v>
      </c>
      <c r="AW90" s="3">
        <v>19073.260000000002</v>
      </c>
      <c r="AX90" s="3">
        <v>0</v>
      </c>
      <c r="AY90" s="3">
        <v>100</v>
      </c>
    </row>
    <row r="91" spans="1:51" hidden="1" x14ac:dyDescent="0.2">
      <c r="A91">
        <v>90</v>
      </c>
      <c r="B91" s="4">
        <v>46112</v>
      </c>
      <c r="C91" s="3">
        <v>17760</v>
      </c>
      <c r="D91" s="3">
        <v>54294.3</v>
      </c>
      <c r="E91" s="3">
        <v>35351.920000000013</v>
      </c>
      <c r="F91" s="3">
        <v>298469.18199999997</v>
      </c>
      <c r="G91" s="3">
        <v>8</v>
      </c>
      <c r="H91" s="3">
        <v>20290</v>
      </c>
      <c r="I91" s="3">
        <v>252436</v>
      </c>
      <c r="J91" s="3">
        <v>85</v>
      </c>
      <c r="K91" s="3">
        <v>129355</v>
      </c>
      <c r="L91" s="3">
        <v>294519</v>
      </c>
      <c r="M91" s="3">
        <v>13</v>
      </c>
      <c r="N91" s="3">
        <v>14550</v>
      </c>
      <c r="O91" s="3">
        <v>37467</v>
      </c>
      <c r="P91" s="3">
        <v>215</v>
      </c>
      <c r="Q91" s="3">
        <v>20</v>
      </c>
      <c r="R91" s="3">
        <v>68822</v>
      </c>
      <c r="S91" s="3">
        <v>144</v>
      </c>
      <c r="T91" s="3">
        <v>596660</v>
      </c>
      <c r="U91" s="3">
        <v>27859</v>
      </c>
      <c r="V91" s="3">
        <v>37664</v>
      </c>
      <c r="W91" s="3">
        <v>5.87</v>
      </c>
      <c r="X91" s="3">
        <v>0.34</v>
      </c>
      <c r="AA91" t="s">
        <v>51</v>
      </c>
      <c r="AB91" s="3">
        <v>1678200</v>
      </c>
      <c r="AC91" s="3">
        <v>230318</v>
      </c>
      <c r="AD91" s="3">
        <v>82248.831650000007</v>
      </c>
      <c r="AE91" s="3">
        <v>148069.16834999999</v>
      </c>
      <c r="AF91" s="3">
        <v>180.02586222755176</v>
      </c>
      <c r="AG91" s="3">
        <v>64.289012734566981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s="3">
        <v>10293.279999999999</v>
      </c>
      <c r="AO91" s="3">
        <v>244710.84000000003</v>
      </c>
      <c r="AP91" s="3">
        <v>184316.68499999997</v>
      </c>
      <c r="AQ91" s="3">
        <v>60394.155000000057</v>
      </c>
      <c r="AR91" s="3">
        <v>32.766515413403873</v>
      </c>
      <c r="AS91" s="3">
        <v>24.679803722630371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</row>
    <row r="92" spans="1:51" x14ac:dyDescent="0.2">
      <c r="A92">
        <v>91</v>
      </c>
      <c r="B92" s="4">
        <v>46113</v>
      </c>
      <c r="C92" s="3">
        <v>224296.8</v>
      </c>
      <c r="D92" s="3">
        <v>584138.66</v>
      </c>
      <c r="E92" s="3">
        <v>27104.520000000004</v>
      </c>
      <c r="F92" s="3">
        <v>359274.26800000004</v>
      </c>
      <c r="G92" s="3">
        <v>8</v>
      </c>
      <c r="H92" s="3">
        <v>18890</v>
      </c>
      <c r="I92" s="3">
        <v>257296</v>
      </c>
      <c r="J92" s="3">
        <v>105</v>
      </c>
      <c r="K92" s="3">
        <v>147080</v>
      </c>
      <c r="L92" s="3">
        <v>256044</v>
      </c>
      <c r="M92" s="3">
        <v>16</v>
      </c>
      <c r="N92" s="3">
        <v>20510</v>
      </c>
      <c r="O92" s="3">
        <v>77213</v>
      </c>
      <c r="P92" s="3">
        <v>160</v>
      </c>
      <c r="Q92" s="3">
        <v>10</v>
      </c>
      <c r="R92" s="3">
        <v>51041</v>
      </c>
      <c r="S92" s="3">
        <v>823</v>
      </c>
      <c r="T92" s="3">
        <v>2416850</v>
      </c>
      <c r="U92" s="3">
        <v>103136</v>
      </c>
      <c r="V92" s="3">
        <v>53999</v>
      </c>
      <c r="W92" s="3">
        <v>2.4700000000000002</v>
      </c>
      <c r="X92" s="3">
        <v>0</v>
      </c>
      <c r="AA92" t="s">
        <v>51</v>
      </c>
      <c r="AB92" s="3">
        <v>396760</v>
      </c>
      <c r="AC92" s="3">
        <v>39068</v>
      </c>
      <c r="AD92" s="3">
        <v>23541.102919999998</v>
      </c>
      <c r="AE92" s="3">
        <v>15526.897080000002</v>
      </c>
      <c r="AF92" s="3">
        <v>65.956540493303294</v>
      </c>
      <c r="AG92" s="3">
        <v>39.743260673697151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s="3">
        <v>4539.32</v>
      </c>
      <c r="AO92" s="3">
        <v>108943.2</v>
      </c>
      <c r="AP92" s="3">
        <v>80672.36</v>
      </c>
      <c r="AQ92" s="3">
        <v>28270.839999999997</v>
      </c>
      <c r="AR92" s="3">
        <v>35.044022512791237</v>
      </c>
      <c r="AS92" s="3">
        <v>25.950073065597483</v>
      </c>
      <c r="AT92" s="3">
        <v>352011</v>
      </c>
      <c r="AU92" s="3">
        <v>71974.600000000006</v>
      </c>
      <c r="AV92" s="3">
        <v>0</v>
      </c>
      <c r="AW92" s="3">
        <v>71974.600000000006</v>
      </c>
      <c r="AX92" s="3">
        <v>0</v>
      </c>
      <c r="AY92" s="3">
        <v>100</v>
      </c>
    </row>
    <row r="93" spans="1:51" x14ac:dyDescent="0.2">
      <c r="A93">
        <v>92</v>
      </c>
      <c r="B93" s="4">
        <v>46114</v>
      </c>
      <c r="C93" s="3">
        <v>11372</v>
      </c>
      <c r="D93" s="3">
        <v>955248</v>
      </c>
      <c r="E93" s="3">
        <v>1712</v>
      </c>
      <c r="F93" s="3">
        <v>180964.90000000002</v>
      </c>
      <c r="G93" s="3">
        <v>6</v>
      </c>
      <c r="H93" s="3">
        <v>20710</v>
      </c>
      <c r="I93" s="3">
        <v>197366</v>
      </c>
      <c r="J93" s="3">
        <v>64</v>
      </c>
      <c r="K93" s="3">
        <v>88725</v>
      </c>
      <c r="L93" s="3">
        <v>144059</v>
      </c>
      <c r="M93" s="3">
        <v>9</v>
      </c>
      <c r="N93" s="3">
        <v>11920</v>
      </c>
      <c r="O93" s="3">
        <v>35158</v>
      </c>
      <c r="P93" s="3">
        <v>140</v>
      </c>
      <c r="Q93" s="3">
        <v>17</v>
      </c>
      <c r="R93" s="3">
        <v>73925</v>
      </c>
      <c r="S93" s="3">
        <v>518</v>
      </c>
      <c r="T93" s="3">
        <v>724765</v>
      </c>
      <c r="U93" s="3">
        <v>54136</v>
      </c>
      <c r="V93" s="3">
        <v>0</v>
      </c>
      <c r="W93" s="3">
        <v>0</v>
      </c>
      <c r="X93" s="3">
        <v>1.1399999999999999</v>
      </c>
      <c r="AA93" t="s">
        <v>51</v>
      </c>
      <c r="AB93" s="3">
        <v>3731900</v>
      </c>
      <c r="AC93" s="3">
        <v>286528.20000000007</v>
      </c>
      <c r="AD93" s="3">
        <v>137547.80706499997</v>
      </c>
      <c r="AE93" s="3">
        <v>148980.3929350001</v>
      </c>
      <c r="AF93" s="3">
        <v>108.31171802295438</v>
      </c>
      <c r="AG93" s="3">
        <v>51.995019315725308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s="3">
        <v>2427.96</v>
      </c>
      <c r="AO93" s="3">
        <v>58271.400000000009</v>
      </c>
      <c r="AP93" s="3">
        <v>45971.279999999992</v>
      </c>
      <c r="AQ93" s="3">
        <v>12300.120000000017</v>
      </c>
      <c r="AR93" s="3">
        <v>26.756096414979137</v>
      </c>
      <c r="AS93" s="3">
        <v>21.108331016587922</v>
      </c>
      <c r="AT93" s="3">
        <v>498.08</v>
      </c>
      <c r="AU93" s="3">
        <v>16260.16</v>
      </c>
      <c r="AV93" s="3">
        <v>0</v>
      </c>
      <c r="AW93" s="3">
        <v>16260.16</v>
      </c>
      <c r="AX93" s="3">
        <v>0</v>
      </c>
      <c r="AY93" s="3">
        <v>100</v>
      </c>
    </row>
    <row r="94" spans="1:51" x14ac:dyDescent="0.2">
      <c r="A94">
        <v>93</v>
      </c>
      <c r="B94" s="4">
        <v>46115</v>
      </c>
      <c r="C94" s="3">
        <v>4504</v>
      </c>
      <c r="D94" s="3">
        <v>635576</v>
      </c>
      <c r="E94" s="3">
        <v>30822</v>
      </c>
      <c r="F94" s="3">
        <v>345371.12</v>
      </c>
      <c r="G94" s="3">
        <v>6</v>
      </c>
      <c r="H94" s="3">
        <v>21880</v>
      </c>
      <c r="I94" s="3">
        <v>208516</v>
      </c>
      <c r="J94" s="3">
        <v>67</v>
      </c>
      <c r="K94" s="3">
        <v>99582</v>
      </c>
      <c r="L94" s="3">
        <v>234738</v>
      </c>
      <c r="M94" s="3">
        <v>2</v>
      </c>
      <c r="N94" s="3">
        <v>4600</v>
      </c>
      <c r="O94" s="3">
        <v>10880</v>
      </c>
      <c r="P94" s="3">
        <v>0</v>
      </c>
      <c r="Q94" s="3">
        <v>8</v>
      </c>
      <c r="R94" s="3">
        <v>31486</v>
      </c>
      <c r="S94" s="3">
        <v>794</v>
      </c>
      <c r="T94" s="3">
        <v>787475</v>
      </c>
      <c r="U94" s="3">
        <v>65204</v>
      </c>
      <c r="V94" s="3">
        <v>-9687</v>
      </c>
      <c r="W94" s="3">
        <v>0</v>
      </c>
      <c r="X94" s="3">
        <v>0</v>
      </c>
      <c r="AA94" t="s">
        <v>51</v>
      </c>
      <c r="AB94" s="3">
        <v>1062835</v>
      </c>
      <c r="AC94" s="3">
        <v>152402.88999999998</v>
      </c>
      <c r="AD94" s="3">
        <v>102334.89675999999</v>
      </c>
      <c r="AE94" s="3">
        <v>50067.993239999996</v>
      </c>
      <c r="AF94" s="3">
        <v>48.9256302836964</v>
      </c>
      <c r="AG94" s="3">
        <v>32.852390948754319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s="3">
        <v>2135.9400000000005</v>
      </c>
      <c r="AO94" s="3">
        <v>81165.150000000009</v>
      </c>
      <c r="AP94" s="3">
        <v>53466.704999999994</v>
      </c>
      <c r="AQ94" s="3">
        <v>27698.445000000014</v>
      </c>
      <c r="AR94" s="3">
        <v>51.805034553747078</v>
      </c>
      <c r="AS94" s="3">
        <v>34.126031923799822</v>
      </c>
      <c r="AT94" s="3">
        <v>3841.6000000000004</v>
      </c>
      <c r="AU94" s="3">
        <v>97364</v>
      </c>
      <c r="AV94" s="3">
        <v>0</v>
      </c>
      <c r="AW94" s="3">
        <v>97364</v>
      </c>
      <c r="AX94" s="3">
        <v>0</v>
      </c>
      <c r="AY94" s="3">
        <v>100</v>
      </c>
    </row>
    <row r="95" spans="1:51" x14ac:dyDescent="0.2">
      <c r="A95">
        <v>94</v>
      </c>
      <c r="B95" s="4">
        <v>46116</v>
      </c>
      <c r="C95" s="3">
        <v>66660</v>
      </c>
      <c r="D95" s="3">
        <v>230205.5</v>
      </c>
      <c r="E95" s="3">
        <v>81568</v>
      </c>
      <c r="F95" s="3">
        <v>483071.03999999992</v>
      </c>
      <c r="G95" s="3">
        <v>6</v>
      </c>
      <c r="H95" s="3">
        <v>23190</v>
      </c>
      <c r="I95" s="3">
        <v>219377</v>
      </c>
      <c r="J95" s="3">
        <v>162</v>
      </c>
      <c r="K95" s="3">
        <v>230855</v>
      </c>
      <c r="L95" s="3">
        <v>638441</v>
      </c>
      <c r="M95" s="3">
        <v>21</v>
      </c>
      <c r="N95" s="3">
        <v>33970</v>
      </c>
      <c r="O95" s="3">
        <v>103837</v>
      </c>
      <c r="P95" s="3">
        <v>96</v>
      </c>
      <c r="Q95" s="3">
        <v>50</v>
      </c>
      <c r="R95" s="3">
        <v>94028</v>
      </c>
      <c r="S95" s="3">
        <v>300</v>
      </c>
      <c r="T95" s="3">
        <v>1586850</v>
      </c>
      <c r="U95" s="3">
        <v>100446</v>
      </c>
      <c r="V95" s="3">
        <v>0</v>
      </c>
      <c r="W95" s="3">
        <v>0</v>
      </c>
      <c r="X95" s="3">
        <v>2.46</v>
      </c>
      <c r="AA95" t="s">
        <v>51</v>
      </c>
      <c r="AB95" s="3">
        <v>288850</v>
      </c>
      <c r="AC95" s="3">
        <v>53060</v>
      </c>
      <c r="AD95" s="3">
        <v>12720.265800000001</v>
      </c>
      <c r="AE95" s="3">
        <v>40339.734199999999</v>
      </c>
      <c r="AF95" s="3">
        <v>317.12964834429795</v>
      </c>
      <c r="AG95" s="3">
        <v>76.026638145495667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 s="3">
        <v>9657.9600000000009</v>
      </c>
      <c r="AO95" s="3">
        <v>221233.31</v>
      </c>
      <c r="AP95" s="3">
        <v>172340.44899999991</v>
      </c>
      <c r="AQ95" s="3">
        <v>48892.861000000092</v>
      </c>
      <c r="AR95" s="3">
        <v>28.369927828144466</v>
      </c>
      <c r="AS95" s="3">
        <v>22.100135372923766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</row>
    <row r="96" spans="1:51" x14ac:dyDescent="0.2">
      <c r="A96">
        <v>95</v>
      </c>
      <c r="B96" s="4">
        <v>46117</v>
      </c>
      <c r="C96" s="3">
        <v>3853</v>
      </c>
      <c r="D96" s="3">
        <v>506115</v>
      </c>
      <c r="E96" s="3">
        <v>0</v>
      </c>
      <c r="F96" s="3">
        <v>0</v>
      </c>
      <c r="G96" s="3"/>
      <c r="H96" s="3"/>
      <c r="I96" s="3"/>
      <c r="J96" s="3"/>
      <c r="K96" s="3"/>
      <c r="L96" s="3"/>
      <c r="M96" s="3"/>
      <c r="N96" s="3"/>
      <c r="O96" s="3"/>
      <c r="P96" s="3">
        <v>0</v>
      </c>
      <c r="Q96" s="3">
        <v>1</v>
      </c>
      <c r="R96" s="3">
        <v>1783</v>
      </c>
      <c r="S96" s="3">
        <v>239</v>
      </c>
      <c r="T96" s="3">
        <v>284500</v>
      </c>
      <c r="U96" s="3">
        <v>26768</v>
      </c>
      <c r="V96" s="3">
        <v>0</v>
      </c>
      <c r="W96" s="3">
        <v>0</v>
      </c>
      <c r="X96" s="3">
        <v>0.89</v>
      </c>
      <c r="AA96" t="s">
        <v>51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</row>
    <row r="97" spans="1:51" x14ac:dyDescent="0.2">
      <c r="A97">
        <v>96</v>
      </c>
      <c r="B97" s="4">
        <v>46118</v>
      </c>
      <c r="C97" s="3"/>
      <c r="D97" s="3"/>
      <c r="E97" s="3">
        <v>0</v>
      </c>
      <c r="F97" s="3">
        <v>0</v>
      </c>
      <c r="G97" s="3"/>
      <c r="H97" s="3"/>
      <c r="I97" s="3"/>
      <c r="J97" s="3"/>
      <c r="K97" s="3"/>
      <c r="L97" s="3"/>
      <c r="M97" s="3">
        <v>6</v>
      </c>
      <c r="N97" s="3">
        <v>10750</v>
      </c>
      <c r="O97" s="3">
        <v>38504</v>
      </c>
      <c r="P97" s="3">
        <v>20</v>
      </c>
      <c r="Q97" s="3">
        <v>2</v>
      </c>
      <c r="R97" s="3">
        <v>11894</v>
      </c>
      <c r="S97" s="3">
        <v>28</v>
      </c>
      <c r="T97" s="3">
        <v>236900</v>
      </c>
      <c r="U97" s="3">
        <v>13774</v>
      </c>
      <c r="V97" s="3">
        <v>0</v>
      </c>
      <c r="W97" s="3">
        <v>0</v>
      </c>
      <c r="X97" s="3">
        <v>17.239999999999998</v>
      </c>
      <c r="AA97" t="s">
        <v>51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s="3">
        <v>13297.340000000002</v>
      </c>
      <c r="AO97" s="3">
        <v>299189.36</v>
      </c>
      <c r="AP97" s="3">
        <v>249809.86599999989</v>
      </c>
      <c r="AQ97" s="3">
        <v>49379.494000000093</v>
      </c>
      <c r="AR97" s="3">
        <v>19.76683098657125</v>
      </c>
      <c r="AS97" s="3">
        <v>16.504428499730103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</row>
    <row r="98" spans="1:51" x14ac:dyDescent="0.2">
      <c r="A98">
        <v>97</v>
      </c>
      <c r="B98" s="4">
        <v>46119</v>
      </c>
      <c r="C98" s="3">
        <v>37115</v>
      </c>
      <c r="D98" s="3">
        <v>143106.37</v>
      </c>
      <c r="E98" s="3">
        <v>39757</v>
      </c>
      <c r="F98" s="3">
        <v>432647.35</v>
      </c>
      <c r="G98" s="3">
        <v>8</v>
      </c>
      <c r="H98" s="3">
        <v>21680</v>
      </c>
      <c r="I98" s="3">
        <v>201414</v>
      </c>
      <c r="J98" s="3">
        <v>35</v>
      </c>
      <c r="K98" s="3">
        <v>52565</v>
      </c>
      <c r="L98" s="3">
        <v>213992</v>
      </c>
      <c r="M98" s="3">
        <v>14</v>
      </c>
      <c r="N98" s="3">
        <v>20220</v>
      </c>
      <c r="O98" s="3">
        <v>59591</v>
      </c>
      <c r="P98" s="3">
        <v>120</v>
      </c>
      <c r="Q98" s="3">
        <v>12</v>
      </c>
      <c r="R98" s="3">
        <v>68819</v>
      </c>
      <c r="S98" s="3">
        <v>537</v>
      </c>
      <c r="T98" s="3">
        <v>1220767</v>
      </c>
      <c r="U98" s="3">
        <v>104644</v>
      </c>
      <c r="V98" s="3">
        <v>0</v>
      </c>
      <c r="W98" s="3">
        <v>0</v>
      </c>
      <c r="X98" s="3">
        <v>7.39</v>
      </c>
      <c r="AA98" t="s">
        <v>51</v>
      </c>
      <c r="AB98" s="3">
        <v>683722</v>
      </c>
      <c r="AC98" s="3">
        <v>74863.59</v>
      </c>
      <c r="AD98" s="3">
        <v>65015.006465999999</v>
      </c>
      <c r="AE98" s="3">
        <v>9848.5835339999976</v>
      </c>
      <c r="AF98" s="3">
        <v>15.148169737013523</v>
      </c>
      <c r="AG98" s="3">
        <v>13.155371702051688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s="3">
        <v>3032.8199999999997</v>
      </c>
      <c r="AO98" s="3">
        <v>98566.64</v>
      </c>
      <c r="AP98" s="3">
        <v>77291.19</v>
      </c>
      <c r="AQ98" s="3">
        <v>21275.449999999997</v>
      </c>
      <c r="AR98" s="3">
        <v>27.526358437488145</v>
      </c>
      <c r="AS98" s="3">
        <v>21.584838440267415</v>
      </c>
      <c r="AT98" s="3">
        <v>2753.1000000000004</v>
      </c>
      <c r="AU98" s="3">
        <v>29311.200000000001</v>
      </c>
      <c r="AV98" s="3">
        <v>6417</v>
      </c>
      <c r="AW98" s="3">
        <v>22894.2</v>
      </c>
      <c r="AX98" s="3">
        <v>356.77419354838713</v>
      </c>
      <c r="AY98" s="3">
        <v>78.10734463276836</v>
      </c>
    </row>
    <row r="99" spans="1:51" x14ac:dyDescent="0.2">
      <c r="A99">
        <v>98</v>
      </c>
      <c r="B99" s="4">
        <v>46120</v>
      </c>
      <c r="C99" s="3">
        <v>2000</v>
      </c>
      <c r="D99" s="3">
        <v>540000</v>
      </c>
      <c r="E99" s="3">
        <v>44607</v>
      </c>
      <c r="F99" s="3">
        <v>323474.40000000002</v>
      </c>
      <c r="G99" s="3">
        <v>8</v>
      </c>
      <c r="H99" s="3">
        <v>31520</v>
      </c>
      <c r="I99" s="3">
        <v>291075</v>
      </c>
      <c r="J99" s="3">
        <v>119</v>
      </c>
      <c r="K99" s="3">
        <v>170825</v>
      </c>
      <c r="L99" s="3">
        <v>519335</v>
      </c>
      <c r="M99" s="3">
        <v>4</v>
      </c>
      <c r="N99" s="3">
        <v>6000</v>
      </c>
      <c r="O99" s="3">
        <v>17790</v>
      </c>
      <c r="P99" s="3">
        <v>0</v>
      </c>
      <c r="Q99" s="3">
        <v>52</v>
      </c>
      <c r="R99" s="3">
        <v>178511</v>
      </c>
      <c r="S99" s="3">
        <v>287</v>
      </c>
      <c r="T99" s="3">
        <v>1406100</v>
      </c>
      <c r="U99" s="3">
        <v>109632</v>
      </c>
      <c r="V99" s="3">
        <v>0</v>
      </c>
      <c r="W99" s="3">
        <v>0</v>
      </c>
      <c r="X99" s="3">
        <v>4.58</v>
      </c>
      <c r="AA99" t="s">
        <v>51</v>
      </c>
      <c r="AB99" s="3">
        <v>1020250</v>
      </c>
      <c r="AC99" s="3">
        <v>120328.59999999999</v>
      </c>
      <c r="AD99" s="3">
        <v>77738.338300000003</v>
      </c>
      <c r="AE99" s="3">
        <v>42590.261699999988</v>
      </c>
      <c r="AF99" s="3">
        <v>54.786689079511731</v>
      </c>
      <c r="AG99" s="3">
        <v>35.394961546963884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s="3">
        <v>13278.650000000001</v>
      </c>
      <c r="AO99" s="3">
        <v>318687.59999999998</v>
      </c>
      <c r="AP99" s="3">
        <v>245851.87</v>
      </c>
      <c r="AQ99" s="3">
        <v>72835.729999999981</v>
      </c>
      <c r="AR99" s="3">
        <v>29.625859669076338</v>
      </c>
      <c r="AS99" s="3">
        <v>22.854899280674864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</row>
    <row r="100" spans="1:51" x14ac:dyDescent="0.2">
      <c r="A100">
        <v>99</v>
      </c>
      <c r="B100" s="4">
        <v>46121</v>
      </c>
      <c r="C100" s="3"/>
      <c r="D100" s="3"/>
      <c r="E100" s="3">
        <v>2345</v>
      </c>
      <c r="F100" s="3">
        <v>281944</v>
      </c>
      <c r="G100" s="3">
        <v>8</v>
      </c>
      <c r="H100" s="3">
        <v>27310</v>
      </c>
      <c r="I100" s="3">
        <v>250160</v>
      </c>
      <c r="J100" s="3">
        <v>53</v>
      </c>
      <c r="K100" s="3">
        <v>77975</v>
      </c>
      <c r="L100" s="3">
        <v>248667</v>
      </c>
      <c r="M100" s="3">
        <v>9</v>
      </c>
      <c r="N100" s="3">
        <v>12040</v>
      </c>
      <c r="O100" s="3">
        <v>48955</v>
      </c>
      <c r="P100" s="3">
        <v>235</v>
      </c>
      <c r="Q100" s="3">
        <v>86</v>
      </c>
      <c r="R100" s="3">
        <v>181966</v>
      </c>
      <c r="S100" s="3">
        <v>1195</v>
      </c>
      <c r="T100" s="3">
        <v>1813321</v>
      </c>
      <c r="U100" s="3">
        <v>422334</v>
      </c>
      <c r="V100" s="3">
        <v>0</v>
      </c>
      <c r="W100" s="3">
        <v>0</v>
      </c>
      <c r="X100" s="3">
        <v>22.45</v>
      </c>
      <c r="AA100" t="s">
        <v>51</v>
      </c>
      <c r="AB100" s="3">
        <v>548771</v>
      </c>
      <c r="AC100" s="3">
        <v>356281.4</v>
      </c>
      <c r="AD100" s="3">
        <v>240330.92519600023</v>
      </c>
      <c r="AE100" s="3">
        <v>115950.47480399979</v>
      </c>
      <c r="AF100" s="3">
        <v>48.246173358437822</v>
      </c>
      <c r="AG100" s="3">
        <v>32.544633203978591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s="3">
        <v>11662.720000000001</v>
      </c>
      <c r="AO100" s="3">
        <v>279905.27999999991</v>
      </c>
      <c r="AP100" s="3">
        <v>213975.12500000006</v>
      </c>
      <c r="AQ100" s="3">
        <v>65930.154999999853</v>
      </c>
      <c r="AR100" s="3">
        <v>30.81206518748375</v>
      </c>
      <c r="AS100" s="3">
        <v>23.554452063212196</v>
      </c>
      <c r="AT100" s="3">
        <v>7</v>
      </c>
      <c r="AU100" s="3">
        <v>3850</v>
      </c>
      <c r="AV100" s="3">
        <v>0</v>
      </c>
      <c r="AW100" s="3">
        <v>3850</v>
      </c>
      <c r="AX100" s="3">
        <v>0</v>
      </c>
      <c r="AY100" s="3">
        <v>100</v>
      </c>
    </row>
    <row r="101" spans="1:51" x14ac:dyDescent="0.2">
      <c r="A101">
        <v>100</v>
      </c>
      <c r="B101" s="4">
        <v>46122</v>
      </c>
      <c r="C101" s="3">
        <v>13980</v>
      </c>
      <c r="D101" s="3">
        <v>42502.2</v>
      </c>
      <c r="E101" s="3">
        <v>16231</v>
      </c>
      <c r="F101" s="3">
        <v>284695</v>
      </c>
      <c r="G101" s="3">
        <v>8</v>
      </c>
      <c r="H101" s="3">
        <v>30820</v>
      </c>
      <c r="I101" s="3">
        <v>295228</v>
      </c>
      <c r="J101" s="3">
        <v>87</v>
      </c>
      <c r="K101" s="3">
        <v>130275</v>
      </c>
      <c r="L101" s="3">
        <v>246753</v>
      </c>
      <c r="M101" s="3">
        <v>15</v>
      </c>
      <c r="N101" s="3">
        <v>24890</v>
      </c>
      <c r="O101" s="3">
        <v>56086</v>
      </c>
      <c r="P101" s="3">
        <v>160</v>
      </c>
      <c r="Q101" s="3">
        <v>16</v>
      </c>
      <c r="R101" s="3">
        <v>72909</v>
      </c>
      <c r="S101" s="3">
        <v>198</v>
      </c>
      <c r="T101" s="3">
        <v>594080</v>
      </c>
      <c r="U101" s="3">
        <v>69691</v>
      </c>
      <c r="V101" s="3">
        <v>0</v>
      </c>
      <c r="W101" s="3">
        <v>0</v>
      </c>
      <c r="X101" s="3">
        <v>35.44</v>
      </c>
      <c r="AA101" t="s">
        <v>51</v>
      </c>
      <c r="AB101" s="3">
        <v>2101690</v>
      </c>
      <c r="AC101" s="3">
        <v>511574.16</v>
      </c>
      <c r="AD101" s="3">
        <v>283098.69783000002</v>
      </c>
      <c r="AE101" s="3">
        <v>228475.46216999996</v>
      </c>
      <c r="AF101" s="3">
        <v>80.705232458256958</v>
      </c>
      <c r="AG101" s="3">
        <v>44.661259311846393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s="3">
        <v>5845.24</v>
      </c>
      <c r="AO101" s="3">
        <v>137654.46</v>
      </c>
      <c r="AP101" s="3">
        <v>106720.02999999998</v>
      </c>
      <c r="AQ101" s="3">
        <v>30934.430000000008</v>
      </c>
      <c r="AR101" s="3">
        <v>28.986526709184783</v>
      </c>
      <c r="AS101" s="3">
        <v>22.472522866313238</v>
      </c>
      <c r="AT101" s="3">
        <v>1932.84</v>
      </c>
      <c r="AU101" s="3">
        <v>43488.9</v>
      </c>
      <c r="AV101" s="3">
        <v>0</v>
      </c>
      <c r="AW101" s="3">
        <v>43488.9</v>
      </c>
      <c r="AX101" s="3">
        <v>0</v>
      </c>
      <c r="AY101" s="3">
        <v>100</v>
      </c>
    </row>
    <row r="102" spans="1:51" x14ac:dyDescent="0.2">
      <c r="A102">
        <v>101</v>
      </c>
      <c r="B102" s="4">
        <v>46123</v>
      </c>
      <c r="C102" s="3">
        <v>50100</v>
      </c>
      <c r="D102" s="3">
        <v>973365.21</v>
      </c>
      <c r="E102" s="3">
        <v>49404</v>
      </c>
      <c r="F102" s="3">
        <v>360940.2</v>
      </c>
      <c r="G102" s="3">
        <v>9</v>
      </c>
      <c r="H102" s="3">
        <v>30470</v>
      </c>
      <c r="I102" s="3">
        <v>293731</v>
      </c>
      <c r="J102" s="3">
        <v>98</v>
      </c>
      <c r="K102" s="3">
        <v>146315</v>
      </c>
      <c r="L102" s="3">
        <v>394761</v>
      </c>
      <c r="M102" s="3">
        <v>16</v>
      </c>
      <c r="N102" s="3">
        <v>23570</v>
      </c>
      <c r="O102" s="3">
        <v>41103</v>
      </c>
      <c r="P102" s="3">
        <v>125</v>
      </c>
      <c r="Q102" s="3">
        <v>20</v>
      </c>
      <c r="R102" s="3">
        <v>56638</v>
      </c>
      <c r="S102" s="3">
        <v>766</v>
      </c>
      <c r="T102" s="3">
        <v>1575335</v>
      </c>
      <c r="U102" s="3">
        <v>150044</v>
      </c>
      <c r="V102" s="3">
        <v>-477</v>
      </c>
      <c r="W102" s="3">
        <v>0</v>
      </c>
      <c r="X102" s="3">
        <v>6.89</v>
      </c>
      <c r="AA102" t="s">
        <v>51</v>
      </c>
      <c r="AB102" s="3">
        <v>376835</v>
      </c>
      <c r="AC102" s="3">
        <v>54821</v>
      </c>
      <c r="AD102" s="3">
        <v>21163.257549999998</v>
      </c>
      <c r="AE102" s="3">
        <v>33657.742450000005</v>
      </c>
      <c r="AF102" s="3">
        <v>159.03857130916978</v>
      </c>
      <c r="AG102" s="3">
        <v>61.395710494153711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s="3">
        <v>8730.0299999999988</v>
      </c>
      <c r="AO102" s="3">
        <v>205155.69</v>
      </c>
      <c r="AP102" s="3">
        <v>157341.71999999997</v>
      </c>
      <c r="AQ102" s="3">
        <v>47813.97000000003</v>
      </c>
      <c r="AR102" s="3">
        <v>30.388615301777584</v>
      </c>
      <c r="AS102" s="3">
        <v>23.306187608055147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</row>
    <row r="103" spans="1:51" x14ac:dyDescent="0.2">
      <c r="A103">
        <v>102</v>
      </c>
      <c r="B103" s="4">
        <v>46124</v>
      </c>
      <c r="C103" s="3">
        <v>88080</v>
      </c>
      <c r="D103" s="3">
        <v>265495.14</v>
      </c>
      <c r="E103" s="3">
        <v>92300</v>
      </c>
      <c r="F103" s="3">
        <v>589281.4</v>
      </c>
      <c r="G103" s="3">
        <v>9</v>
      </c>
      <c r="H103" s="3">
        <v>28440</v>
      </c>
      <c r="I103" s="3">
        <v>278609</v>
      </c>
      <c r="J103" s="3">
        <v>98</v>
      </c>
      <c r="K103" s="3">
        <v>153375</v>
      </c>
      <c r="L103" s="3">
        <v>468517</v>
      </c>
      <c r="M103" s="3">
        <v>5</v>
      </c>
      <c r="N103" s="3">
        <v>5910</v>
      </c>
      <c r="O103" s="3">
        <v>16499</v>
      </c>
      <c r="P103" s="3">
        <v>105</v>
      </c>
      <c r="Q103" s="3">
        <v>17</v>
      </c>
      <c r="R103" s="3">
        <v>53501</v>
      </c>
      <c r="S103" s="3">
        <v>540</v>
      </c>
      <c r="T103" s="3">
        <v>2293190</v>
      </c>
      <c r="U103" s="3">
        <v>79520</v>
      </c>
      <c r="V103" s="3">
        <v>9000</v>
      </c>
      <c r="W103" s="3">
        <v>0.37</v>
      </c>
      <c r="X103" s="3">
        <v>3.91</v>
      </c>
      <c r="AA103" t="s">
        <v>51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</row>
    <row r="104" spans="1:51" x14ac:dyDescent="0.2">
      <c r="A104">
        <v>103</v>
      </c>
      <c r="B104" s="4">
        <v>46125</v>
      </c>
      <c r="C104" s="3">
        <v>17600</v>
      </c>
      <c r="D104" s="3">
        <v>41754.5</v>
      </c>
      <c r="E104" s="3">
        <v>17627</v>
      </c>
      <c r="F104" s="3">
        <v>44263.5</v>
      </c>
      <c r="G104" s="3"/>
      <c r="H104" s="3"/>
      <c r="I104" s="3"/>
      <c r="J104" s="3">
        <v>12</v>
      </c>
      <c r="K104" s="3">
        <v>17600</v>
      </c>
      <c r="L104" s="3">
        <v>41712</v>
      </c>
      <c r="M104" s="3"/>
      <c r="N104" s="3"/>
      <c r="O104" s="3"/>
      <c r="P104" s="3">
        <v>0</v>
      </c>
      <c r="Q104" s="3">
        <v>4</v>
      </c>
      <c r="R104" s="3">
        <v>9291</v>
      </c>
      <c r="S104" s="3">
        <v>105</v>
      </c>
      <c r="T104" s="3">
        <v>212040</v>
      </c>
      <c r="U104" s="3">
        <v>9754</v>
      </c>
      <c r="V104" s="3">
        <v>0</v>
      </c>
      <c r="W104" s="3">
        <v>0</v>
      </c>
      <c r="X104" s="3">
        <v>19.489999999999998</v>
      </c>
      <c r="AA104" t="s">
        <v>51</v>
      </c>
      <c r="AB104" s="3">
        <v>2304460</v>
      </c>
      <c r="AC104" s="3">
        <v>255426.55999999997</v>
      </c>
      <c r="AD104" s="3">
        <v>125957.85123999996</v>
      </c>
      <c r="AE104" s="3">
        <v>129468.70876000001</v>
      </c>
      <c r="AF104" s="3">
        <v>102.78732725704447</v>
      </c>
      <c r="AG104" s="3">
        <v>50.687253807904717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s="3">
        <v>2452.71</v>
      </c>
      <c r="AO104" s="3">
        <v>58864.68</v>
      </c>
      <c r="AP104" s="3">
        <v>44440.805</v>
      </c>
      <c r="AQ104" s="3">
        <v>14423.875</v>
      </c>
      <c r="AR104" s="3">
        <v>32.456376521532405</v>
      </c>
      <c r="AS104" s="3">
        <v>24.503445869407596</v>
      </c>
      <c r="AT104" s="3">
        <v>16</v>
      </c>
      <c r="AU104" s="3">
        <v>11750</v>
      </c>
      <c r="AV104" s="3">
        <v>0</v>
      </c>
      <c r="AW104" s="3">
        <v>11750</v>
      </c>
      <c r="AX104" s="3">
        <v>0</v>
      </c>
      <c r="AY104" s="3">
        <v>100</v>
      </c>
    </row>
    <row r="105" spans="1:51" x14ac:dyDescent="0.2">
      <c r="A105">
        <v>104</v>
      </c>
      <c r="B105" s="4">
        <v>46126</v>
      </c>
      <c r="C105" s="3">
        <v>26319.7</v>
      </c>
      <c r="D105" s="3">
        <v>180103</v>
      </c>
      <c r="E105" s="3">
        <v>1662</v>
      </c>
      <c r="F105" s="3">
        <v>167300.84</v>
      </c>
      <c r="G105" s="3">
        <v>8</v>
      </c>
      <c r="H105" s="3">
        <v>23550</v>
      </c>
      <c r="I105" s="3">
        <v>235734</v>
      </c>
      <c r="J105" s="3">
        <v>75</v>
      </c>
      <c r="K105" s="3">
        <v>90102</v>
      </c>
      <c r="L105" s="3">
        <v>279820</v>
      </c>
      <c r="M105" s="3">
        <v>3</v>
      </c>
      <c r="N105" s="3">
        <v>2340</v>
      </c>
      <c r="O105" s="3">
        <v>5808</v>
      </c>
      <c r="P105" s="3">
        <v>60</v>
      </c>
      <c r="Q105" s="3">
        <v>11</v>
      </c>
      <c r="R105" s="3">
        <v>20916</v>
      </c>
      <c r="S105" s="3">
        <v>655</v>
      </c>
      <c r="T105" s="3">
        <v>1312565</v>
      </c>
      <c r="U105" s="3">
        <v>87378</v>
      </c>
      <c r="V105" s="3">
        <v>0</v>
      </c>
      <c r="W105" s="3">
        <v>0</v>
      </c>
      <c r="X105" s="3">
        <v>5.16</v>
      </c>
      <c r="AA105" t="s">
        <v>51</v>
      </c>
      <c r="AB105" s="3">
        <v>1458940</v>
      </c>
      <c r="AC105" s="3">
        <v>256809.65999999997</v>
      </c>
      <c r="AD105" s="3">
        <v>130732.01682000003</v>
      </c>
      <c r="AE105" s="3">
        <v>126077.64317999994</v>
      </c>
      <c r="AF105" s="3">
        <v>96.439759935465148</v>
      </c>
      <c r="AG105" s="3">
        <v>49.093808690841286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s="3">
        <v>9914.0699999999979</v>
      </c>
      <c r="AO105" s="3">
        <v>272729.12000000005</v>
      </c>
      <c r="AP105" s="3">
        <v>195481.89999999997</v>
      </c>
      <c r="AQ105" s="3">
        <v>77247.220000000088</v>
      </c>
      <c r="AR105" s="3">
        <v>39.516303043913581</v>
      </c>
      <c r="AS105" s="3">
        <v>28.323788820203749</v>
      </c>
      <c r="AT105" s="3">
        <v>414.4</v>
      </c>
      <c r="AU105" s="3">
        <v>12017.6</v>
      </c>
      <c r="AV105" s="3">
        <v>0</v>
      </c>
      <c r="AW105" s="3">
        <v>12017.6</v>
      </c>
      <c r="AX105" s="3">
        <v>0</v>
      </c>
      <c r="AY105" s="3">
        <v>100</v>
      </c>
    </row>
    <row r="106" spans="1:51" x14ac:dyDescent="0.2">
      <c r="A106">
        <v>105</v>
      </c>
      <c r="B106" s="4">
        <v>46127</v>
      </c>
      <c r="C106" s="3"/>
      <c r="D106" s="3"/>
      <c r="E106" s="3">
        <v>26265</v>
      </c>
      <c r="F106" s="3">
        <v>151883</v>
      </c>
      <c r="G106" s="3">
        <v>3</v>
      </c>
      <c r="H106" s="3">
        <v>12000</v>
      </c>
      <c r="I106" s="3">
        <v>120120</v>
      </c>
      <c r="J106" s="3">
        <v>89</v>
      </c>
      <c r="K106" s="3">
        <v>114345</v>
      </c>
      <c r="L106" s="3">
        <v>334808</v>
      </c>
      <c r="M106" s="3">
        <v>6</v>
      </c>
      <c r="N106" s="3">
        <v>11910</v>
      </c>
      <c r="O106" s="3">
        <v>37992</v>
      </c>
      <c r="P106" s="3">
        <v>0</v>
      </c>
      <c r="Q106" s="3">
        <v>11</v>
      </c>
      <c r="R106" s="3">
        <v>27355</v>
      </c>
      <c r="S106" s="3">
        <v>319</v>
      </c>
      <c r="T106" s="3">
        <v>710270</v>
      </c>
      <c r="U106" s="3">
        <v>53668</v>
      </c>
      <c r="V106" s="3">
        <v>-9724</v>
      </c>
      <c r="W106" s="3">
        <v>0</v>
      </c>
      <c r="X106" s="3">
        <v>7</v>
      </c>
      <c r="AA106" t="s">
        <v>51</v>
      </c>
      <c r="AB106" s="3">
        <v>1844290</v>
      </c>
      <c r="AC106" s="3">
        <v>158353.43</v>
      </c>
      <c r="AD106" s="3">
        <v>108616.96150600002</v>
      </c>
      <c r="AE106" s="3">
        <v>49736.468493999972</v>
      </c>
      <c r="AF106" s="3">
        <v>45.790701382539147</v>
      </c>
      <c r="AG106" s="3">
        <v>31.408519849554239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s="3">
        <v>6487.5</v>
      </c>
      <c r="AO106" s="3">
        <v>116774.96000000002</v>
      </c>
      <c r="AP106" s="3">
        <v>113425.68500000001</v>
      </c>
      <c r="AQ106" s="3">
        <v>3349.2750000000087</v>
      </c>
      <c r="AR106" s="3">
        <v>2.9528364761473633</v>
      </c>
      <c r="AS106" s="3">
        <v>2.8681448488614412</v>
      </c>
      <c r="AT106" s="3">
        <v>343.24</v>
      </c>
      <c r="AU106" s="3">
        <v>12959.48</v>
      </c>
      <c r="AV106" s="3">
        <v>0</v>
      </c>
      <c r="AW106" s="3">
        <v>12959.48</v>
      </c>
      <c r="AX106" s="3">
        <v>0</v>
      </c>
      <c r="AY106" s="3">
        <v>100</v>
      </c>
    </row>
    <row r="107" spans="1:51" x14ac:dyDescent="0.2">
      <c r="A107">
        <v>106</v>
      </c>
      <c r="B107" s="4">
        <v>46128</v>
      </c>
      <c r="C107" s="3">
        <v>20775</v>
      </c>
      <c r="D107" s="3">
        <v>81879.83</v>
      </c>
      <c r="E107" s="3">
        <v>22893</v>
      </c>
      <c r="F107" s="3">
        <v>301596.89</v>
      </c>
      <c r="G107" s="3">
        <v>12</v>
      </c>
      <c r="H107" s="3">
        <v>27050</v>
      </c>
      <c r="I107" s="3">
        <v>270770</v>
      </c>
      <c r="J107" s="3">
        <v>50</v>
      </c>
      <c r="K107" s="3">
        <v>74464</v>
      </c>
      <c r="L107" s="3">
        <v>223810</v>
      </c>
      <c r="M107" s="3">
        <v>13</v>
      </c>
      <c r="N107" s="3">
        <v>21193</v>
      </c>
      <c r="O107" s="3">
        <v>53670</v>
      </c>
      <c r="P107" s="3">
        <v>507</v>
      </c>
      <c r="Q107" s="3">
        <v>27</v>
      </c>
      <c r="R107" s="3">
        <v>96038</v>
      </c>
      <c r="S107" s="3">
        <v>471</v>
      </c>
      <c r="T107" s="3">
        <v>1112150</v>
      </c>
      <c r="U107" s="3">
        <v>75023</v>
      </c>
      <c r="V107" s="3">
        <v>-18140</v>
      </c>
      <c r="W107" s="3">
        <v>0</v>
      </c>
      <c r="X107" s="3">
        <v>0.21</v>
      </c>
      <c r="AA107" t="s">
        <v>51</v>
      </c>
      <c r="AB107" s="3">
        <v>1163920</v>
      </c>
      <c r="AC107" s="3">
        <v>207020.44</v>
      </c>
      <c r="AD107" s="3">
        <v>122030.87310000006</v>
      </c>
      <c r="AE107" s="3">
        <v>84989.566899999947</v>
      </c>
      <c r="AF107" s="3">
        <v>69.645954946461757</v>
      </c>
      <c r="AG107" s="3">
        <v>41.053707981685264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s="3">
        <v>6226.34</v>
      </c>
      <c r="AO107" s="3">
        <v>143041.18</v>
      </c>
      <c r="AP107" s="3">
        <v>121055.01</v>
      </c>
      <c r="AQ107" s="3">
        <v>21986.17</v>
      </c>
      <c r="AR107" s="3">
        <v>18.162131414470164</v>
      </c>
      <c r="AS107" s="3">
        <v>15.370517776768899</v>
      </c>
      <c r="AT107" s="3">
        <v>5</v>
      </c>
      <c r="AU107" s="3">
        <v>2750</v>
      </c>
      <c r="AV107" s="3">
        <v>0</v>
      </c>
      <c r="AW107" s="3">
        <v>2750</v>
      </c>
      <c r="AX107" s="3">
        <v>0</v>
      </c>
      <c r="AY107" s="3">
        <v>100</v>
      </c>
    </row>
    <row r="108" spans="1:51" x14ac:dyDescent="0.2">
      <c r="A108">
        <v>107</v>
      </c>
      <c r="B108" s="4">
        <v>46129</v>
      </c>
      <c r="C108" s="3"/>
      <c r="D108" s="3"/>
      <c r="E108" s="3">
        <v>2834.6</v>
      </c>
      <c r="F108" s="3">
        <v>196580.4</v>
      </c>
      <c r="G108" s="3">
        <v>8</v>
      </c>
      <c r="H108" s="3">
        <v>15700</v>
      </c>
      <c r="I108" s="3">
        <v>169552</v>
      </c>
      <c r="J108" s="3">
        <v>82</v>
      </c>
      <c r="K108" s="3">
        <v>99155</v>
      </c>
      <c r="L108" s="3">
        <v>279680</v>
      </c>
      <c r="M108" s="3">
        <v>14</v>
      </c>
      <c r="N108" s="3">
        <v>20610</v>
      </c>
      <c r="O108" s="3">
        <v>83953</v>
      </c>
      <c r="P108" s="3">
        <v>70</v>
      </c>
      <c r="Q108" s="3">
        <v>16</v>
      </c>
      <c r="R108" s="3">
        <v>53704</v>
      </c>
      <c r="S108" s="3">
        <v>503</v>
      </c>
      <c r="T108" s="3">
        <v>1997490</v>
      </c>
      <c r="U108" s="3">
        <v>95228</v>
      </c>
      <c r="V108" s="3">
        <v>-1350</v>
      </c>
      <c r="W108" s="3">
        <v>0</v>
      </c>
      <c r="X108" s="3">
        <v>0</v>
      </c>
      <c r="AA108" t="s">
        <v>51</v>
      </c>
      <c r="AB108" s="3">
        <v>1635830</v>
      </c>
      <c r="AC108" s="3">
        <v>153389.45000000001</v>
      </c>
      <c r="AD108" s="3">
        <v>104761.92316999999</v>
      </c>
      <c r="AE108" s="3">
        <v>48627.526830000017</v>
      </c>
      <c r="AF108" s="3">
        <v>46.417176545232778</v>
      </c>
      <c r="AG108" s="3">
        <v>31.702002210712678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s="3">
        <v>34940.560000000041</v>
      </c>
      <c r="AO108" s="3">
        <v>812731.03999999899</v>
      </c>
      <c r="AP108" s="3">
        <v>653183.97700000019</v>
      </c>
      <c r="AQ108" s="3">
        <v>159547.0629999988</v>
      </c>
      <c r="AR108" s="3">
        <v>24.426052784206426</v>
      </c>
      <c r="AS108" s="3">
        <v>19.630979395102099</v>
      </c>
      <c r="AT108" s="3">
        <v>470</v>
      </c>
      <c r="AU108" s="3">
        <v>12690</v>
      </c>
      <c r="AV108" s="3">
        <v>0</v>
      </c>
      <c r="AW108" s="3">
        <v>12690</v>
      </c>
      <c r="AX108" s="3">
        <v>0</v>
      </c>
      <c r="AY108" s="3">
        <v>100</v>
      </c>
    </row>
    <row r="109" spans="1:51" x14ac:dyDescent="0.2">
      <c r="A109">
        <v>108</v>
      </c>
      <c r="B109" s="4">
        <v>46130</v>
      </c>
      <c r="C109" s="3">
        <v>7227.3</v>
      </c>
      <c r="D109" s="3">
        <v>1164028.93</v>
      </c>
      <c r="E109" s="3">
        <v>64726</v>
      </c>
      <c r="F109" s="3">
        <v>145711.91</v>
      </c>
      <c r="G109" s="3">
        <v>3</v>
      </c>
      <c r="H109" s="3">
        <v>2910</v>
      </c>
      <c r="I109" s="3">
        <v>29129</v>
      </c>
      <c r="J109" s="3">
        <v>65</v>
      </c>
      <c r="K109" s="3">
        <v>103226</v>
      </c>
      <c r="L109" s="3">
        <v>250336</v>
      </c>
      <c r="M109" s="3">
        <v>6</v>
      </c>
      <c r="N109" s="3">
        <v>4995</v>
      </c>
      <c r="O109" s="3">
        <v>16369</v>
      </c>
      <c r="P109" s="3">
        <v>100</v>
      </c>
      <c r="Q109" s="3">
        <v>22</v>
      </c>
      <c r="R109" s="3">
        <v>108079</v>
      </c>
      <c r="S109" s="3">
        <v>936</v>
      </c>
      <c r="T109" s="3">
        <v>1702845</v>
      </c>
      <c r="U109" s="3">
        <v>139149</v>
      </c>
      <c r="V109" s="3">
        <v>6117</v>
      </c>
      <c r="W109" s="3">
        <v>0.35</v>
      </c>
      <c r="X109" s="3">
        <v>3.6</v>
      </c>
      <c r="AA109" t="s">
        <v>51</v>
      </c>
      <c r="AB109" s="3">
        <v>1378400</v>
      </c>
      <c r="AC109" s="3">
        <v>165970</v>
      </c>
      <c r="AD109" s="3">
        <v>47028.800200000005</v>
      </c>
      <c r="AE109" s="3">
        <v>118941.1998</v>
      </c>
      <c r="AF109" s="3">
        <v>252.91140597713994</v>
      </c>
      <c r="AG109" s="3">
        <v>71.664276556004097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s="3">
        <v>19395.330000000002</v>
      </c>
      <c r="AO109" s="3">
        <v>465487.44000000006</v>
      </c>
      <c r="AP109" s="3">
        <v>375483.37499999965</v>
      </c>
      <c r="AQ109" s="3">
        <v>90004.06500000041</v>
      </c>
      <c r="AR109" s="3">
        <v>23.970186429692259</v>
      </c>
      <c r="AS109" s="3">
        <v>19.335444367736411</v>
      </c>
      <c r="AT109" s="3">
        <v>15</v>
      </c>
      <c r="AU109" s="3">
        <v>11670</v>
      </c>
      <c r="AV109" s="3">
        <v>0</v>
      </c>
      <c r="AW109" s="3">
        <v>11670</v>
      </c>
      <c r="AX109" s="3">
        <v>0</v>
      </c>
      <c r="AY109" s="3">
        <v>100</v>
      </c>
    </row>
    <row r="110" spans="1:51" x14ac:dyDescent="0.2">
      <c r="A110">
        <v>109</v>
      </c>
      <c r="B110" s="4">
        <v>46131</v>
      </c>
      <c r="C110" s="3"/>
      <c r="D110" s="3"/>
      <c r="E110" s="3">
        <v>30434</v>
      </c>
      <c r="F110" s="3">
        <v>596793.94999999995</v>
      </c>
      <c r="G110" s="3">
        <v>10</v>
      </c>
      <c r="H110" s="3">
        <v>40170</v>
      </c>
      <c r="I110" s="3">
        <v>394955</v>
      </c>
      <c r="J110" s="3">
        <v>18</v>
      </c>
      <c r="K110" s="3">
        <v>26800</v>
      </c>
      <c r="L110" s="3">
        <v>76957</v>
      </c>
      <c r="M110" s="3">
        <v>6</v>
      </c>
      <c r="N110" s="3">
        <v>6120</v>
      </c>
      <c r="O110" s="3">
        <v>13694</v>
      </c>
      <c r="P110" s="3">
        <v>0</v>
      </c>
      <c r="Q110" s="3">
        <v>17</v>
      </c>
      <c r="R110" s="3">
        <v>94037</v>
      </c>
      <c r="S110" s="3">
        <v>301</v>
      </c>
      <c r="T110" s="3">
        <v>241599</v>
      </c>
      <c r="U110" s="3">
        <v>59762</v>
      </c>
      <c r="V110" s="3">
        <v>-1112</v>
      </c>
      <c r="W110" s="3">
        <v>0</v>
      </c>
      <c r="X110" s="3">
        <v>2.41</v>
      </c>
      <c r="AA110" t="s">
        <v>51</v>
      </c>
      <c r="AB110" s="3">
        <v>132579</v>
      </c>
      <c r="AC110" s="3">
        <v>2452.71</v>
      </c>
      <c r="AD110" s="3">
        <v>5661.6817410000003</v>
      </c>
      <c r="AE110" s="3">
        <v>-3208.9717410000003</v>
      </c>
      <c r="AF110" s="3">
        <v>0</v>
      </c>
      <c r="AG110" s="3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256</v>
      </c>
      <c r="AU110" s="3">
        <v>6912</v>
      </c>
      <c r="AV110" s="3">
        <v>0</v>
      </c>
      <c r="AW110" s="3">
        <v>6912</v>
      </c>
      <c r="AX110" s="3">
        <v>0</v>
      </c>
      <c r="AY110" s="3">
        <v>100</v>
      </c>
    </row>
    <row r="111" spans="1:51" x14ac:dyDescent="0.2">
      <c r="A111">
        <v>110</v>
      </c>
      <c r="B111" s="4">
        <v>46132</v>
      </c>
      <c r="C111" s="3">
        <v>22550</v>
      </c>
      <c r="D111" s="3">
        <v>118838.5</v>
      </c>
      <c r="E111" s="3">
        <v>0</v>
      </c>
      <c r="F111" s="3"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>
        <v>0</v>
      </c>
      <c r="Q111" s="3">
        <v>6</v>
      </c>
      <c r="R111" s="3">
        <v>12652</v>
      </c>
      <c r="S111" s="3">
        <v>7</v>
      </c>
      <c r="T111" s="3">
        <v>2800</v>
      </c>
      <c r="U111" s="3">
        <v>888</v>
      </c>
      <c r="V111" s="3">
        <v>-1396</v>
      </c>
      <c r="W111" s="3">
        <v>0</v>
      </c>
      <c r="X111" s="3">
        <v>0</v>
      </c>
      <c r="AA111" t="s">
        <v>51</v>
      </c>
      <c r="AB111" s="3">
        <v>529375</v>
      </c>
      <c r="AC111" s="3">
        <v>42428.75</v>
      </c>
      <c r="AD111" s="3">
        <v>28722.952375000001</v>
      </c>
      <c r="AE111" s="3">
        <v>13705.797624999999</v>
      </c>
      <c r="AF111" s="3">
        <v>47.717231314038969</v>
      </c>
      <c r="AG111" s="3">
        <v>32.303090769819995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</row>
    <row r="112" spans="1:51" x14ac:dyDescent="0.2">
      <c r="A112">
        <v>111</v>
      </c>
      <c r="B112" s="4">
        <v>46133</v>
      </c>
      <c r="C112" s="3"/>
      <c r="D112" s="3"/>
      <c r="E112" s="3">
        <v>59566</v>
      </c>
      <c r="F112" s="3">
        <v>397853.95</v>
      </c>
      <c r="G112" s="3">
        <v>7</v>
      </c>
      <c r="H112" s="3">
        <v>24400</v>
      </c>
      <c r="I112" s="3">
        <v>238270</v>
      </c>
      <c r="J112" s="3">
        <v>70</v>
      </c>
      <c r="K112" s="3">
        <v>98380</v>
      </c>
      <c r="L112" s="3">
        <v>297125</v>
      </c>
      <c r="M112" s="3">
        <v>9</v>
      </c>
      <c r="N112" s="3">
        <v>13300</v>
      </c>
      <c r="O112" s="3">
        <v>27206</v>
      </c>
      <c r="P112" s="3">
        <v>440</v>
      </c>
      <c r="Q112" s="3">
        <v>7</v>
      </c>
      <c r="R112" s="3">
        <v>26972</v>
      </c>
      <c r="S112" s="3">
        <v>628</v>
      </c>
      <c r="T112" s="3">
        <v>896405</v>
      </c>
      <c r="U112" s="3">
        <v>95025</v>
      </c>
      <c r="V112" s="3">
        <v>-2206</v>
      </c>
      <c r="W112" s="3">
        <v>0</v>
      </c>
      <c r="X112" s="3">
        <v>9.1</v>
      </c>
      <c r="AA112" t="s">
        <v>51</v>
      </c>
      <c r="AB112" s="3">
        <v>2199840</v>
      </c>
      <c r="AC112" s="3">
        <v>287725.74000000005</v>
      </c>
      <c r="AD112" s="3">
        <v>193685.05869500001</v>
      </c>
      <c r="AE112" s="3">
        <v>94040.681305000035</v>
      </c>
      <c r="AF112" s="3">
        <v>48.553400008561269</v>
      </c>
      <c r="AG112" s="3">
        <v>32.684139175382789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</row>
    <row r="113" spans="1:51" x14ac:dyDescent="0.2">
      <c r="A113">
        <v>112</v>
      </c>
      <c r="B113" s="4">
        <v>46134</v>
      </c>
      <c r="C113" s="3">
        <v>600</v>
      </c>
      <c r="D113" s="3">
        <v>20215</v>
      </c>
      <c r="E113" s="3">
        <v>6470.2</v>
      </c>
      <c r="F113" s="3">
        <v>298722.02</v>
      </c>
      <c r="G113" s="3">
        <v>9</v>
      </c>
      <c r="H113" s="3">
        <v>26140</v>
      </c>
      <c r="I113" s="3">
        <v>280495</v>
      </c>
      <c r="J113" s="3">
        <v>78</v>
      </c>
      <c r="K113" s="3">
        <v>104165</v>
      </c>
      <c r="L113" s="3">
        <v>320948</v>
      </c>
      <c r="M113" s="3">
        <v>7</v>
      </c>
      <c r="N113" s="3">
        <v>13740</v>
      </c>
      <c r="O113" s="3">
        <v>33102</v>
      </c>
      <c r="P113" s="3">
        <v>155</v>
      </c>
      <c r="Q113" s="3">
        <v>21</v>
      </c>
      <c r="R113" s="3">
        <v>81357</v>
      </c>
      <c r="S113" s="3">
        <v>495</v>
      </c>
      <c r="T113" s="3">
        <v>1776504</v>
      </c>
      <c r="U113" s="3">
        <v>81803</v>
      </c>
      <c r="V113" s="3">
        <v>-7560</v>
      </c>
      <c r="W113" s="3">
        <v>0</v>
      </c>
      <c r="X113" s="3">
        <v>5.27</v>
      </c>
      <c r="AA113" t="s">
        <v>51</v>
      </c>
      <c r="AB113" s="3">
        <v>723156</v>
      </c>
      <c r="AC113" s="3">
        <v>114524.4</v>
      </c>
      <c r="AD113" s="3">
        <v>46929.739010000005</v>
      </c>
      <c r="AE113" s="3">
        <v>67594.660989999989</v>
      </c>
      <c r="AF113" s="3">
        <v>144.03374579943139</v>
      </c>
      <c r="AG113" s="3">
        <v>59.022060792285302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s="3">
        <v>4038.78</v>
      </c>
      <c r="AO113" s="3">
        <v>96930.72</v>
      </c>
      <c r="AP113" s="3">
        <v>76003.98000000001</v>
      </c>
      <c r="AQ113" s="3">
        <v>20926.739999999991</v>
      </c>
      <c r="AR113" s="3">
        <v>27.533742311915756</v>
      </c>
      <c r="AS113" s="3">
        <v>21.589378475678288</v>
      </c>
      <c r="AT113" s="3">
        <v>304.5</v>
      </c>
      <c r="AU113" s="3">
        <v>8221.5</v>
      </c>
      <c r="AV113" s="3">
        <v>0</v>
      </c>
      <c r="AW113" s="3">
        <v>8221.5</v>
      </c>
      <c r="AX113" s="3">
        <v>0</v>
      </c>
      <c r="AY113" s="3">
        <v>100</v>
      </c>
    </row>
    <row r="114" spans="1:51" x14ac:dyDescent="0.2">
      <c r="A114">
        <v>113</v>
      </c>
      <c r="B114" s="4">
        <v>46135</v>
      </c>
      <c r="C114" s="3">
        <v>230</v>
      </c>
      <c r="D114" s="3">
        <v>90112.5</v>
      </c>
      <c r="E114" s="3">
        <v>1585</v>
      </c>
      <c r="F114" s="3">
        <v>185905.51</v>
      </c>
      <c r="G114" s="3">
        <v>6</v>
      </c>
      <c r="H114" s="3">
        <v>19530</v>
      </c>
      <c r="I114" s="3">
        <v>193542</v>
      </c>
      <c r="J114" s="3">
        <v>92</v>
      </c>
      <c r="K114" s="3">
        <v>128725</v>
      </c>
      <c r="L114" s="3">
        <v>245879</v>
      </c>
      <c r="M114" s="3">
        <v>12</v>
      </c>
      <c r="N114" s="3">
        <v>17136</v>
      </c>
      <c r="O114" s="3">
        <v>40311</v>
      </c>
      <c r="P114" s="3">
        <v>75</v>
      </c>
      <c r="Q114" s="3">
        <v>26</v>
      </c>
      <c r="R114" s="3">
        <v>111028</v>
      </c>
      <c r="S114" s="3">
        <v>392</v>
      </c>
      <c r="T114" s="3">
        <v>967336</v>
      </c>
      <c r="U114" s="3">
        <v>60782</v>
      </c>
      <c r="V114" s="3">
        <v>-22948</v>
      </c>
      <c r="W114" s="3">
        <v>0</v>
      </c>
      <c r="X114" s="3">
        <v>3.18</v>
      </c>
      <c r="AA114" t="s">
        <v>51</v>
      </c>
      <c r="AB114" s="3">
        <v>871000</v>
      </c>
      <c r="AC114" s="3">
        <v>148304</v>
      </c>
      <c r="AD114" s="3">
        <v>65171.371000000006</v>
      </c>
      <c r="AE114" s="3">
        <v>83132.628999999986</v>
      </c>
      <c r="AF114" s="3">
        <v>127.56004319749539</v>
      </c>
      <c r="AG114" s="3">
        <v>56.055554132053075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s="3">
        <v>24030.989999999976</v>
      </c>
      <c r="AO114" s="3">
        <v>575159.97</v>
      </c>
      <c r="AP114" s="3">
        <v>453240.91499999986</v>
      </c>
      <c r="AQ114" s="3">
        <v>121919.05500000011</v>
      </c>
      <c r="AR114" s="3">
        <v>26.899393008241578</v>
      </c>
      <c r="AS114" s="3">
        <v>21.197416607417953</v>
      </c>
      <c r="AT114" s="3">
        <v>5</v>
      </c>
      <c r="AU114" s="3">
        <v>3650</v>
      </c>
      <c r="AV114" s="3">
        <v>0</v>
      </c>
      <c r="AW114" s="3">
        <v>3650</v>
      </c>
      <c r="AX114" s="3">
        <v>0</v>
      </c>
      <c r="AY114" s="3">
        <v>100</v>
      </c>
    </row>
    <row r="115" spans="1:51" x14ac:dyDescent="0.2">
      <c r="A115">
        <v>114</v>
      </c>
      <c r="B115" s="4">
        <v>46136</v>
      </c>
      <c r="C115" s="3">
        <v>6650</v>
      </c>
      <c r="D115" s="3">
        <v>16093</v>
      </c>
      <c r="E115" s="3">
        <v>9323</v>
      </c>
      <c r="F115" s="3">
        <v>415244.56</v>
      </c>
      <c r="G115" s="3">
        <v>7</v>
      </c>
      <c r="H115" s="3">
        <v>24450</v>
      </c>
      <c r="I115" s="3">
        <v>238765</v>
      </c>
      <c r="J115" s="3">
        <v>87</v>
      </c>
      <c r="K115" s="3">
        <v>125790</v>
      </c>
      <c r="L115" s="3">
        <v>309895</v>
      </c>
      <c r="M115" s="3">
        <v>7</v>
      </c>
      <c r="N115" s="3">
        <v>10006</v>
      </c>
      <c r="O115" s="3">
        <v>26458</v>
      </c>
      <c r="P115" s="3">
        <v>300</v>
      </c>
      <c r="Q115" s="3">
        <v>5</v>
      </c>
      <c r="R115" s="3">
        <v>28136</v>
      </c>
      <c r="S115" s="3">
        <v>210</v>
      </c>
      <c r="T115" s="3">
        <v>1141246</v>
      </c>
      <c r="U115" s="3">
        <v>41657</v>
      </c>
      <c r="V115" s="3">
        <v>0</v>
      </c>
      <c r="W115" s="3">
        <v>0</v>
      </c>
      <c r="X115" s="3">
        <v>16.63</v>
      </c>
      <c r="AA115" t="s">
        <v>51</v>
      </c>
      <c r="AB115" s="3">
        <v>2313310</v>
      </c>
      <c r="AC115" s="3">
        <v>83110.240000000005</v>
      </c>
      <c r="AD115" s="3">
        <v>34336.150827999998</v>
      </c>
      <c r="AE115" s="3">
        <v>48774.089172000007</v>
      </c>
      <c r="AF115" s="3">
        <v>142.04879695550017</v>
      </c>
      <c r="AG115" s="3">
        <v>58.686016514932462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s="3">
        <v>4403.2400000000007</v>
      </c>
      <c r="AO115" s="3">
        <v>105678.12000000001</v>
      </c>
      <c r="AP115" s="3">
        <v>85317.075000000012</v>
      </c>
      <c r="AQ115" s="3">
        <v>20361.044999999998</v>
      </c>
      <c r="AR115" s="3">
        <v>23.865146572359631</v>
      </c>
      <c r="AS115" s="3">
        <v>19.267039383365255</v>
      </c>
      <c r="AT115" s="3">
        <v>7</v>
      </c>
      <c r="AU115" s="3">
        <v>12000</v>
      </c>
      <c r="AV115" s="3">
        <v>0</v>
      </c>
      <c r="AW115" s="3">
        <v>12000</v>
      </c>
      <c r="AX115" s="3">
        <v>0</v>
      </c>
      <c r="AY115" s="3">
        <v>100</v>
      </c>
    </row>
    <row r="116" spans="1:51" x14ac:dyDescent="0.2">
      <c r="A116">
        <v>115</v>
      </c>
      <c r="B116" s="4">
        <v>46137</v>
      </c>
      <c r="C116" s="3">
        <v>1311.3</v>
      </c>
      <c r="D116" s="3">
        <v>446430.69</v>
      </c>
      <c r="E116" s="3">
        <v>14281</v>
      </c>
      <c r="F116" s="3">
        <v>326355.09999999998</v>
      </c>
      <c r="G116" s="3">
        <v>8</v>
      </c>
      <c r="H116" s="3">
        <v>21330</v>
      </c>
      <c r="I116" s="3">
        <v>207930</v>
      </c>
      <c r="J116" s="3">
        <v>38</v>
      </c>
      <c r="K116" s="3">
        <v>53465</v>
      </c>
      <c r="L116" s="3">
        <v>159740</v>
      </c>
      <c r="M116" s="3">
        <v>10</v>
      </c>
      <c r="N116" s="3">
        <v>13370</v>
      </c>
      <c r="O116" s="3">
        <v>35526</v>
      </c>
      <c r="P116" s="3">
        <v>530</v>
      </c>
      <c r="Q116" s="3">
        <v>13</v>
      </c>
      <c r="R116" s="3">
        <v>52216</v>
      </c>
      <c r="S116" s="3">
        <v>511</v>
      </c>
      <c r="T116" s="3">
        <v>784180</v>
      </c>
      <c r="U116" s="3">
        <v>92318</v>
      </c>
      <c r="V116" s="3">
        <v>11647</v>
      </c>
      <c r="W116" s="3">
        <v>1.29</v>
      </c>
      <c r="X116" s="3">
        <v>0.93</v>
      </c>
      <c r="AA116" t="s">
        <v>51</v>
      </c>
      <c r="AB116" s="3">
        <v>772640</v>
      </c>
      <c r="AC116" s="3">
        <v>138486.24</v>
      </c>
      <c r="AD116" s="3">
        <v>68382.920760000008</v>
      </c>
      <c r="AE116" s="3">
        <v>70103.319239999983</v>
      </c>
      <c r="AF116" s="3">
        <v>102.51583065022621</v>
      </c>
      <c r="AG116" s="3">
        <v>50.621144194542353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s="3">
        <v>5016.5</v>
      </c>
      <c r="AO116" s="3">
        <v>131751.4</v>
      </c>
      <c r="AP116" s="3">
        <v>111535.89999999998</v>
      </c>
      <c r="AQ116" s="3">
        <v>20215.500000000015</v>
      </c>
      <c r="AR116" s="3">
        <v>18.124657621447462</v>
      </c>
      <c r="AS116" s="3">
        <v>15.343669972387403</v>
      </c>
      <c r="AT116" s="3">
        <v>394.24</v>
      </c>
      <c r="AU116" s="3">
        <v>10644.48</v>
      </c>
      <c r="AV116" s="3">
        <v>0</v>
      </c>
      <c r="AW116" s="3">
        <v>10644.48</v>
      </c>
      <c r="AX116" s="3">
        <v>0</v>
      </c>
      <c r="AY116" s="3">
        <v>100</v>
      </c>
    </row>
    <row r="117" spans="1:51" x14ac:dyDescent="0.2">
      <c r="A117">
        <v>116</v>
      </c>
      <c r="B117" s="4">
        <v>46138</v>
      </c>
      <c r="C117" s="3"/>
      <c r="D117" s="3"/>
      <c r="E117" s="3">
        <v>0</v>
      </c>
      <c r="F117" s="3">
        <v>0</v>
      </c>
      <c r="G117" s="3"/>
      <c r="H117" s="3"/>
      <c r="I117" s="3"/>
      <c r="J117" s="3"/>
      <c r="K117" s="3"/>
      <c r="L117" s="3"/>
      <c r="M117" s="3">
        <v>1</v>
      </c>
      <c r="N117" s="3">
        <v>1200</v>
      </c>
      <c r="O117" s="3">
        <v>2761</v>
      </c>
      <c r="P117" s="3">
        <v>50</v>
      </c>
      <c r="Q117" s="3">
        <v>1</v>
      </c>
      <c r="R117" s="3">
        <v>3529</v>
      </c>
      <c r="S117" s="3">
        <v>86</v>
      </c>
      <c r="T117" s="3">
        <v>163150</v>
      </c>
      <c r="U117" s="3">
        <v>13037</v>
      </c>
      <c r="V117" s="3">
        <v>4516</v>
      </c>
      <c r="W117" s="3">
        <v>2.4300000000000002</v>
      </c>
      <c r="X117" s="3">
        <v>9.9499999999999993</v>
      </c>
      <c r="AA117" t="s">
        <v>51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</row>
    <row r="118" spans="1:51" x14ac:dyDescent="0.2">
      <c r="A118">
        <v>117</v>
      </c>
      <c r="B118" s="4">
        <v>46139</v>
      </c>
      <c r="C118" s="3">
        <v>1200</v>
      </c>
      <c r="D118" s="3">
        <v>128725</v>
      </c>
      <c r="E118" s="3">
        <v>476.03999999999996</v>
      </c>
      <c r="F118" s="3">
        <v>106072.4</v>
      </c>
      <c r="G118" s="3">
        <v>4</v>
      </c>
      <c r="H118" s="3">
        <v>11150</v>
      </c>
      <c r="I118" s="3">
        <v>133816</v>
      </c>
      <c r="J118" s="3">
        <v>60</v>
      </c>
      <c r="K118" s="3">
        <v>62345</v>
      </c>
      <c r="L118" s="3">
        <v>161967</v>
      </c>
      <c r="M118" s="3">
        <v>7</v>
      </c>
      <c r="N118" s="3">
        <v>8530</v>
      </c>
      <c r="O118" s="3">
        <v>27985</v>
      </c>
      <c r="P118" s="3">
        <v>75</v>
      </c>
      <c r="Q118" s="3">
        <v>14</v>
      </c>
      <c r="R118" s="3">
        <v>45329</v>
      </c>
      <c r="S118" s="3">
        <v>391</v>
      </c>
      <c r="T118" s="3">
        <v>858357</v>
      </c>
      <c r="U118" s="3">
        <v>69199</v>
      </c>
      <c r="V118" s="3">
        <v>-11929</v>
      </c>
      <c r="W118" s="3">
        <v>0</v>
      </c>
      <c r="X118" s="3">
        <v>0</v>
      </c>
      <c r="AA118" t="s">
        <v>51</v>
      </c>
      <c r="AB118" s="3">
        <v>211304</v>
      </c>
      <c r="AC118" s="3">
        <v>25219.71</v>
      </c>
      <c r="AD118" s="3">
        <v>20710.142152000004</v>
      </c>
      <c r="AE118" s="3">
        <v>4509.5678479999951</v>
      </c>
      <c r="AF118" s="3">
        <v>21.774683219953179</v>
      </c>
      <c r="AG118" s="3">
        <v>17.881124913807476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383.24</v>
      </c>
      <c r="AU118" s="3">
        <v>10177.9</v>
      </c>
      <c r="AV118" s="3">
        <v>0</v>
      </c>
      <c r="AW118" s="3">
        <v>10177.9</v>
      </c>
      <c r="AX118" s="3">
        <v>0</v>
      </c>
      <c r="AY118" s="3">
        <v>100</v>
      </c>
    </row>
    <row r="119" spans="1:51" x14ac:dyDescent="0.2">
      <c r="A119">
        <v>118</v>
      </c>
      <c r="B119" s="4">
        <v>46140</v>
      </c>
      <c r="C119" s="3">
        <v>26202</v>
      </c>
      <c r="D119" s="3">
        <v>57046.74</v>
      </c>
      <c r="E119" s="3">
        <v>27875.26</v>
      </c>
      <c r="F119" s="3">
        <v>292483.14</v>
      </c>
      <c r="G119" s="3">
        <v>7</v>
      </c>
      <c r="H119" s="3">
        <v>22425</v>
      </c>
      <c r="I119" s="3">
        <v>281658</v>
      </c>
      <c r="J119" s="3">
        <v>89</v>
      </c>
      <c r="K119" s="3">
        <v>128707</v>
      </c>
      <c r="L119" s="3">
        <v>272796</v>
      </c>
      <c r="M119" s="3">
        <v>6</v>
      </c>
      <c r="N119" s="3">
        <v>11810</v>
      </c>
      <c r="O119" s="3">
        <v>50539</v>
      </c>
      <c r="P119" s="3">
        <v>0</v>
      </c>
      <c r="Q119" s="3">
        <v>10</v>
      </c>
      <c r="R119" s="3">
        <v>39881</v>
      </c>
      <c r="S119" s="3">
        <v>582</v>
      </c>
      <c r="T119" s="3">
        <v>1455790</v>
      </c>
      <c r="U119" s="3">
        <v>78391</v>
      </c>
      <c r="V119" s="3">
        <v>2152</v>
      </c>
      <c r="W119" s="3">
        <v>0.14000000000000001</v>
      </c>
      <c r="X119" s="3">
        <v>0.2</v>
      </c>
      <c r="AA119" t="s">
        <v>51</v>
      </c>
      <c r="AB119" s="3">
        <v>1662373</v>
      </c>
      <c r="AC119" s="3">
        <v>325082.36</v>
      </c>
      <c r="AD119" s="3">
        <v>226717.89052699998</v>
      </c>
      <c r="AE119" s="3">
        <v>98364.469473000005</v>
      </c>
      <c r="AF119" s="3">
        <v>43.386284710198339</v>
      </c>
      <c r="AG119" s="3">
        <v>30.2583226825965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466.5</v>
      </c>
      <c r="AU119" s="3">
        <v>13406.24</v>
      </c>
      <c r="AV119" s="3">
        <v>0</v>
      </c>
      <c r="AW119" s="3">
        <v>13406.24</v>
      </c>
      <c r="AX119" s="3">
        <v>0</v>
      </c>
      <c r="AY119" s="3">
        <v>100</v>
      </c>
    </row>
    <row r="120" spans="1:51" x14ac:dyDescent="0.2">
      <c r="A120">
        <v>119</v>
      </c>
      <c r="B120" s="4">
        <v>46141</v>
      </c>
      <c r="C120" s="3">
        <v>12270</v>
      </c>
      <c r="D120" s="3">
        <v>19551.71</v>
      </c>
      <c r="E120" s="3">
        <v>13939.92</v>
      </c>
      <c r="F120" s="3">
        <v>330347.64999999997</v>
      </c>
      <c r="G120" s="3">
        <v>6</v>
      </c>
      <c r="H120" s="3">
        <v>18860</v>
      </c>
      <c r="I120" s="3">
        <v>231403</v>
      </c>
      <c r="J120" s="3">
        <v>76</v>
      </c>
      <c r="K120" s="3">
        <v>106435</v>
      </c>
      <c r="L120" s="3">
        <v>314152</v>
      </c>
      <c r="M120" s="3">
        <v>14</v>
      </c>
      <c r="N120" s="3">
        <v>22556</v>
      </c>
      <c r="O120" s="3">
        <v>66502</v>
      </c>
      <c r="P120" s="3">
        <v>40</v>
      </c>
      <c r="Q120" s="3">
        <v>9</v>
      </c>
      <c r="R120" s="3">
        <v>31262</v>
      </c>
      <c r="S120" s="3">
        <v>549</v>
      </c>
      <c r="T120" s="3">
        <v>1473716</v>
      </c>
      <c r="U120" s="3">
        <v>92683</v>
      </c>
      <c r="V120" s="3">
        <v>4046</v>
      </c>
      <c r="W120" s="3">
        <v>0.27</v>
      </c>
      <c r="X120" s="3">
        <v>2.06</v>
      </c>
      <c r="AA120" t="s">
        <v>51</v>
      </c>
      <c r="AB120" s="3">
        <v>1365916</v>
      </c>
      <c r="AC120" s="3">
        <v>153679.79999999999</v>
      </c>
      <c r="AD120" s="3">
        <v>77790.468251999991</v>
      </c>
      <c r="AE120" s="3">
        <v>75889.331747999997</v>
      </c>
      <c r="AF120" s="3">
        <v>97.556080395555256</v>
      </c>
      <c r="AG120" s="3">
        <v>49.381461810856081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 s="3">
        <v>30139.33000000002</v>
      </c>
      <c r="AO120" s="3">
        <v>712817.55999999982</v>
      </c>
      <c r="AP120" s="3">
        <v>575001.25499999989</v>
      </c>
      <c r="AQ120" s="3">
        <v>137816.30499999993</v>
      </c>
      <c r="AR120" s="3">
        <v>23.968000730711442</v>
      </c>
      <c r="AS120" s="3">
        <v>19.33402215848891</v>
      </c>
      <c r="AT120" s="3">
        <v>689.86</v>
      </c>
      <c r="AU120" s="3">
        <v>20795.22</v>
      </c>
      <c r="AV120" s="3">
        <v>0</v>
      </c>
      <c r="AW120" s="3">
        <v>20795.22</v>
      </c>
      <c r="AX120" s="3">
        <v>0</v>
      </c>
      <c r="AY120" s="3">
        <v>100</v>
      </c>
    </row>
    <row r="121" spans="1:51" x14ac:dyDescent="0.2">
      <c r="A121">
        <v>120</v>
      </c>
      <c r="B121" s="4">
        <v>46142</v>
      </c>
      <c r="C121" s="3">
        <v>15</v>
      </c>
      <c r="D121" s="3">
        <v>8505</v>
      </c>
      <c r="E121" s="3">
        <v>7777</v>
      </c>
      <c r="F121" s="3">
        <v>496420.8</v>
      </c>
      <c r="G121" s="3">
        <v>5</v>
      </c>
      <c r="H121" s="3">
        <v>21320</v>
      </c>
      <c r="I121" s="3">
        <v>223434</v>
      </c>
      <c r="J121" s="3">
        <v>73</v>
      </c>
      <c r="K121" s="3">
        <v>111265</v>
      </c>
      <c r="L121" s="3">
        <v>397982</v>
      </c>
      <c r="M121" s="3">
        <v>10</v>
      </c>
      <c r="N121" s="3">
        <v>15505</v>
      </c>
      <c r="O121" s="3">
        <v>31819</v>
      </c>
      <c r="P121" s="3">
        <v>0</v>
      </c>
      <c r="Q121" s="3">
        <v>22</v>
      </c>
      <c r="R121" s="3">
        <v>35301</v>
      </c>
      <c r="S121" s="3">
        <v>384</v>
      </c>
      <c r="T121" s="3">
        <v>1062600</v>
      </c>
      <c r="U121" s="3">
        <v>58820</v>
      </c>
      <c r="V121" s="3">
        <v>-52050</v>
      </c>
      <c r="W121" s="3">
        <v>0</v>
      </c>
      <c r="X121" s="3">
        <v>0.18</v>
      </c>
      <c r="AA121" t="s">
        <v>51</v>
      </c>
      <c r="AB121" s="3">
        <v>1241250</v>
      </c>
      <c r="AC121" s="3">
        <v>95802.739999999991</v>
      </c>
      <c r="AD121" s="3">
        <v>50674.951140000012</v>
      </c>
      <c r="AE121" s="3">
        <v>45127.788859999979</v>
      </c>
      <c r="AF121" s="3">
        <v>89.053443259027816</v>
      </c>
      <c r="AG121" s="3">
        <v>47.104904160361158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s="3">
        <v>613.79999999999995</v>
      </c>
      <c r="AO121" s="3">
        <v>23324.399999999998</v>
      </c>
      <c r="AP121" s="3">
        <v>17911.8</v>
      </c>
      <c r="AQ121" s="3">
        <v>5412.5999999999985</v>
      </c>
      <c r="AR121" s="3">
        <v>30.218068535825537</v>
      </c>
      <c r="AS121" s="3">
        <v>23.205741626794254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</row>
    <row r="122" spans="1:51" x14ac:dyDescent="0.2">
      <c r="A122">
        <v>121</v>
      </c>
      <c r="B122" s="4">
        <v>46143</v>
      </c>
      <c r="C122" s="3">
        <v>45180</v>
      </c>
      <c r="D122" s="3">
        <v>182135.64</v>
      </c>
      <c r="E122" s="3">
        <v>46259</v>
      </c>
      <c r="F122" s="3">
        <v>317729.6999999999</v>
      </c>
      <c r="G122" s="3">
        <v>7</v>
      </c>
      <c r="H122" s="3">
        <v>23470</v>
      </c>
      <c r="I122" s="3">
        <v>245966</v>
      </c>
      <c r="J122" s="3">
        <v>54</v>
      </c>
      <c r="K122" s="3">
        <v>88375</v>
      </c>
      <c r="L122" s="3">
        <v>334910</v>
      </c>
      <c r="M122" s="3">
        <v>5</v>
      </c>
      <c r="N122" s="3">
        <v>10120</v>
      </c>
      <c r="O122" s="3">
        <v>29791</v>
      </c>
      <c r="P122" s="3">
        <v>0</v>
      </c>
      <c r="Q122" s="3">
        <v>38</v>
      </c>
      <c r="R122" s="3">
        <v>135926</v>
      </c>
      <c r="S122" s="3">
        <v>596</v>
      </c>
      <c r="T122" s="3">
        <v>1625550</v>
      </c>
      <c r="U122" s="3">
        <v>81120</v>
      </c>
      <c r="V122" s="3">
        <v>29073</v>
      </c>
      <c r="W122" s="3">
        <v>1.67</v>
      </c>
      <c r="X122" s="3">
        <v>5.42</v>
      </c>
      <c r="AA122" t="s">
        <v>51</v>
      </c>
      <c r="AB122" s="3">
        <v>1479200</v>
      </c>
      <c r="AC122" s="3">
        <v>220426</v>
      </c>
      <c r="AD122" s="3">
        <v>130729.36190000003</v>
      </c>
      <c r="AE122" s="3">
        <v>89696.638099999967</v>
      </c>
      <c r="AF122" s="3">
        <v>68.612465322528237</v>
      </c>
      <c r="AG122" s="3">
        <v>40.692403845281397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 s="3">
        <v>12366.84</v>
      </c>
      <c r="AO122" s="3">
        <v>349061.70000000007</v>
      </c>
      <c r="AP122" s="3">
        <v>261198.86000000007</v>
      </c>
      <c r="AQ122" s="3">
        <v>87862.84</v>
      </c>
      <c r="AR122" s="3">
        <v>33.63829382716294</v>
      </c>
      <c r="AS122" s="3">
        <v>25.171148825551466</v>
      </c>
      <c r="AT122" s="3">
        <v>20</v>
      </c>
      <c r="AU122" s="3">
        <v>15195</v>
      </c>
      <c r="AV122" s="3">
        <v>0</v>
      </c>
      <c r="AW122" s="3">
        <v>15195</v>
      </c>
      <c r="AX122" s="3">
        <v>0</v>
      </c>
      <c r="AY122" s="3">
        <v>100</v>
      </c>
    </row>
    <row r="123" spans="1:51" x14ac:dyDescent="0.2">
      <c r="A123">
        <v>122</v>
      </c>
      <c r="B123" s="4">
        <v>46144</v>
      </c>
      <c r="C123" s="3">
        <v>68037</v>
      </c>
      <c r="D123" s="3">
        <v>1377963.37</v>
      </c>
      <c r="E123" s="3">
        <v>60570</v>
      </c>
      <c r="F123" s="3">
        <v>388407.3</v>
      </c>
      <c r="G123" s="3">
        <v>5</v>
      </c>
      <c r="H123" s="3">
        <v>23800</v>
      </c>
      <c r="I123" s="3">
        <v>240304</v>
      </c>
      <c r="J123" s="3">
        <v>35</v>
      </c>
      <c r="K123" s="3">
        <v>58950</v>
      </c>
      <c r="L123" s="3">
        <v>170676</v>
      </c>
      <c r="M123" s="3">
        <v>11</v>
      </c>
      <c r="N123" s="3">
        <v>22760</v>
      </c>
      <c r="O123" s="3">
        <v>92270</v>
      </c>
      <c r="P123" s="3">
        <v>70</v>
      </c>
      <c r="Q123" s="3">
        <v>33</v>
      </c>
      <c r="R123" s="3">
        <v>167773</v>
      </c>
      <c r="S123" s="3">
        <v>702</v>
      </c>
      <c r="T123" s="3">
        <v>2230800</v>
      </c>
      <c r="U123" s="3">
        <v>182944</v>
      </c>
      <c r="V123" s="3">
        <v>0</v>
      </c>
      <c r="W123" s="3">
        <v>0</v>
      </c>
      <c r="X123" s="3">
        <v>6.81</v>
      </c>
      <c r="AA123" t="s">
        <v>51</v>
      </c>
      <c r="AB123" s="3">
        <v>861500</v>
      </c>
      <c r="AC123" s="3">
        <v>72707.25</v>
      </c>
      <c r="AD123" s="3">
        <v>46915.359000000004</v>
      </c>
      <c r="AE123" s="3">
        <v>25791.890999999996</v>
      </c>
      <c r="AF123" s="3">
        <v>54.975367448429822</v>
      </c>
      <c r="AG123" s="3">
        <v>35.473616455030275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s="3">
        <v>4520.28</v>
      </c>
      <c r="AO123" s="3">
        <v>108486.72</v>
      </c>
      <c r="AP123" s="3">
        <v>89727.56</v>
      </c>
      <c r="AQ123" s="3">
        <v>18759.160000000003</v>
      </c>
      <c r="AR123" s="3">
        <v>20.906798312580889</v>
      </c>
      <c r="AS123" s="3">
        <v>17.291664823123053</v>
      </c>
      <c r="AT123" s="3">
        <v>352</v>
      </c>
      <c r="AU123" s="3">
        <v>7920</v>
      </c>
      <c r="AV123" s="3">
        <v>0</v>
      </c>
      <c r="AW123" s="3">
        <v>7920</v>
      </c>
      <c r="AX123" s="3">
        <v>0</v>
      </c>
      <c r="AY123" s="3">
        <v>100</v>
      </c>
    </row>
    <row r="124" spans="1:51" x14ac:dyDescent="0.2">
      <c r="A124">
        <v>123</v>
      </c>
      <c r="B124" s="4">
        <v>46145</v>
      </c>
      <c r="C124" s="3">
        <v>3000</v>
      </c>
      <c r="D124" s="3">
        <v>9688.5</v>
      </c>
      <c r="E124" s="3">
        <v>5100</v>
      </c>
      <c r="F124" s="3">
        <v>244589.50999999998</v>
      </c>
      <c r="G124" s="3">
        <v>7</v>
      </c>
      <c r="H124" s="3">
        <v>25480</v>
      </c>
      <c r="I124" s="3">
        <v>258227</v>
      </c>
      <c r="J124" s="3">
        <v>100</v>
      </c>
      <c r="K124" s="3">
        <v>143015</v>
      </c>
      <c r="L124" s="3">
        <v>399016</v>
      </c>
      <c r="M124" s="3">
        <v>13</v>
      </c>
      <c r="N124" s="3">
        <v>22288</v>
      </c>
      <c r="O124" s="3">
        <v>50999</v>
      </c>
      <c r="P124" s="3">
        <v>0</v>
      </c>
      <c r="Q124" s="3">
        <v>11</v>
      </c>
      <c r="R124" s="3">
        <v>34633</v>
      </c>
      <c r="S124" s="3">
        <v>944</v>
      </c>
      <c r="T124" s="3">
        <v>2093825</v>
      </c>
      <c r="U124" s="3">
        <v>180966</v>
      </c>
      <c r="V124" s="3">
        <v>0</v>
      </c>
      <c r="W124" s="3">
        <v>0</v>
      </c>
      <c r="X124" s="3">
        <v>1.65</v>
      </c>
      <c r="AA124" t="s">
        <v>51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s="3">
        <v>7552.6</v>
      </c>
      <c r="AO124" s="3">
        <v>181423.58000000002</v>
      </c>
      <c r="AP124" s="3">
        <v>146559.63</v>
      </c>
      <c r="AQ124" s="3">
        <v>34863.950000000012</v>
      </c>
      <c r="AR124" s="3">
        <v>23.788235546173262</v>
      </c>
      <c r="AS124" s="3">
        <v>19.216879084846639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</row>
    <row r="125" spans="1:51" x14ac:dyDescent="0.2">
      <c r="A125">
        <v>124</v>
      </c>
      <c r="B125" s="4">
        <v>46146</v>
      </c>
      <c r="C125" s="3"/>
      <c r="D125" s="3"/>
      <c r="E125" s="3">
        <v>0</v>
      </c>
      <c r="F125" s="3"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>
        <v>99</v>
      </c>
      <c r="T125" s="3">
        <v>1978450</v>
      </c>
      <c r="U125" s="3">
        <v>18295</v>
      </c>
      <c r="V125" s="3">
        <v>0</v>
      </c>
      <c r="W125" s="3">
        <v>0</v>
      </c>
      <c r="X125" s="3">
        <v>24.03</v>
      </c>
      <c r="AA125" t="s">
        <v>51</v>
      </c>
      <c r="AB125" s="3">
        <v>288000</v>
      </c>
      <c r="AC125" s="3">
        <v>46080</v>
      </c>
      <c r="AD125" s="3">
        <v>34097.645999999993</v>
      </c>
      <c r="AE125" s="3">
        <v>11982.354000000007</v>
      </c>
      <c r="AF125" s="3">
        <v>35.141293918061116</v>
      </c>
      <c r="AG125" s="3">
        <v>26.003372395833345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</row>
    <row r="126" spans="1:51" x14ac:dyDescent="0.2">
      <c r="A126">
        <v>125</v>
      </c>
      <c r="B126" s="4">
        <v>46147</v>
      </c>
      <c r="C126" s="3">
        <v>11407.1</v>
      </c>
      <c r="D126" s="3">
        <v>1872840.67</v>
      </c>
      <c r="E126" s="3">
        <v>5420</v>
      </c>
      <c r="F126" s="3">
        <v>156530.32999999999</v>
      </c>
      <c r="G126" s="3">
        <v>5</v>
      </c>
      <c r="H126" s="3">
        <v>15410</v>
      </c>
      <c r="I126" s="3">
        <v>152929</v>
      </c>
      <c r="J126" s="3">
        <v>72</v>
      </c>
      <c r="K126" s="3">
        <v>106155</v>
      </c>
      <c r="L126" s="3">
        <v>228120</v>
      </c>
      <c r="M126" s="3">
        <v>20</v>
      </c>
      <c r="N126" s="3">
        <v>32302</v>
      </c>
      <c r="O126" s="3">
        <v>90388</v>
      </c>
      <c r="P126" s="3">
        <v>180</v>
      </c>
      <c r="Q126" s="3">
        <v>6</v>
      </c>
      <c r="R126" s="3">
        <v>18465</v>
      </c>
      <c r="S126" s="3">
        <v>290</v>
      </c>
      <c r="T126" s="3">
        <v>861040</v>
      </c>
      <c r="U126" s="3">
        <v>59459</v>
      </c>
      <c r="V126" s="3">
        <v>0</v>
      </c>
      <c r="W126" s="3">
        <v>0</v>
      </c>
      <c r="X126" s="3">
        <v>6.08</v>
      </c>
      <c r="AA126" t="s">
        <v>51</v>
      </c>
      <c r="AB126" s="3">
        <v>2175215</v>
      </c>
      <c r="AC126" s="3">
        <v>339186.66</v>
      </c>
      <c r="AD126" s="3">
        <v>176138.76485999997</v>
      </c>
      <c r="AE126" s="3">
        <v>163047.89514000001</v>
      </c>
      <c r="AF126" s="3">
        <v>92.567865608456529</v>
      </c>
      <c r="AG126" s="3">
        <v>48.070255811357683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s="3">
        <v>16540.04</v>
      </c>
      <c r="AO126" s="3">
        <v>390757.17</v>
      </c>
      <c r="AP126" s="3">
        <v>326060.76500000007</v>
      </c>
      <c r="AQ126" s="3">
        <v>64696.404999999912</v>
      </c>
      <c r="AR126" s="3">
        <v>19.841824575244402</v>
      </c>
      <c r="AS126" s="3">
        <v>16.556677642025075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</row>
    <row r="127" spans="1:51" x14ac:dyDescent="0.2">
      <c r="A127">
        <v>126</v>
      </c>
      <c r="B127" s="4">
        <v>46148</v>
      </c>
      <c r="C127" s="3">
        <v>9700</v>
      </c>
      <c r="D127" s="3">
        <v>88533.8</v>
      </c>
      <c r="E127" s="3">
        <v>12879.599999999999</v>
      </c>
      <c r="F127" s="3">
        <v>534450.36</v>
      </c>
      <c r="G127" s="3">
        <v>11</v>
      </c>
      <c r="H127" s="3">
        <v>34100</v>
      </c>
      <c r="I127" s="3">
        <v>378400</v>
      </c>
      <c r="J127" s="3">
        <v>44</v>
      </c>
      <c r="K127" s="3">
        <v>67525</v>
      </c>
      <c r="L127" s="3">
        <v>201575</v>
      </c>
      <c r="M127" s="3">
        <v>17</v>
      </c>
      <c r="N127" s="3">
        <v>22935</v>
      </c>
      <c r="O127" s="3">
        <v>57945</v>
      </c>
      <c r="P127" s="3">
        <v>165</v>
      </c>
      <c r="Q127" s="3">
        <v>7</v>
      </c>
      <c r="R127" s="3">
        <v>21368</v>
      </c>
      <c r="S127" s="3">
        <v>587</v>
      </c>
      <c r="T127" s="3">
        <v>1447400</v>
      </c>
      <c r="U127" s="3">
        <v>119736</v>
      </c>
      <c r="V127" s="3">
        <v>0</v>
      </c>
      <c r="W127" s="3">
        <v>0</v>
      </c>
      <c r="X127" s="3">
        <v>1.25</v>
      </c>
      <c r="AA127" t="s">
        <v>51</v>
      </c>
      <c r="AB127" s="3">
        <v>796420</v>
      </c>
      <c r="AC127" s="3">
        <v>126218.75</v>
      </c>
      <c r="AD127" s="3">
        <v>49869.970529999999</v>
      </c>
      <c r="AE127" s="3">
        <v>76348.779470000009</v>
      </c>
      <c r="AF127" s="3">
        <v>153.09569798937679</v>
      </c>
      <c r="AG127" s="3">
        <v>60.489253355781138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s="3">
        <v>3935.7999999999997</v>
      </c>
      <c r="AO127" s="3">
        <v>93159.56</v>
      </c>
      <c r="AP127" s="3">
        <v>76907.859999999957</v>
      </c>
      <c r="AQ127" s="3">
        <v>16251.700000000041</v>
      </c>
      <c r="AR127" s="3">
        <v>21.131390211611727</v>
      </c>
      <c r="AS127" s="3">
        <v>17.445015841637769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</row>
    <row r="128" spans="1:51" x14ac:dyDescent="0.2">
      <c r="A128">
        <v>127</v>
      </c>
      <c r="B128" s="4">
        <v>46149</v>
      </c>
      <c r="C128" s="3">
        <v>37709.99</v>
      </c>
      <c r="D128" s="3">
        <v>1073981.02</v>
      </c>
      <c r="E128" s="3">
        <v>28512.400000000001</v>
      </c>
      <c r="F128" s="3">
        <v>329266.33399999997</v>
      </c>
      <c r="G128" s="3">
        <v>8</v>
      </c>
      <c r="H128" s="3">
        <v>22440</v>
      </c>
      <c r="I128" s="3">
        <v>240779</v>
      </c>
      <c r="J128" s="3">
        <v>125</v>
      </c>
      <c r="K128" s="3">
        <v>167005</v>
      </c>
      <c r="L128" s="3">
        <v>500700</v>
      </c>
      <c r="M128" s="3">
        <v>13</v>
      </c>
      <c r="N128" s="3">
        <v>19910</v>
      </c>
      <c r="O128" s="3">
        <v>56779</v>
      </c>
      <c r="P128" s="3">
        <v>450</v>
      </c>
      <c r="Q128" s="3">
        <v>16</v>
      </c>
      <c r="R128" s="3">
        <v>59699</v>
      </c>
      <c r="S128" s="3">
        <v>623</v>
      </c>
      <c r="T128" s="3">
        <v>1702059</v>
      </c>
      <c r="U128" s="3">
        <v>114176</v>
      </c>
      <c r="V128" s="3">
        <v>-8200</v>
      </c>
      <c r="W128" s="3">
        <v>0</v>
      </c>
      <c r="X128" s="3">
        <v>6.64</v>
      </c>
      <c r="AA128" t="s">
        <v>51</v>
      </c>
      <c r="AB128" s="3">
        <v>2564964</v>
      </c>
      <c r="AC128" s="3">
        <v>92703.82</v>
      </c>
      <c r="AD128" s="3">
        <v>57871.501592000001</v>
      </c>
      <c r="AE128" s="3">
        <v>34832.318408000006</v>
      </c>
      <c r="AF128" s="3">
        <v>60.18906966259734</v>
      </c>
      <c r="AG128" s="3">
        <v>37.573768166187762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s="3">
        <v>11649.390000000009</v>
      </c>
      <c r="AO128" s="3">
        <v>281147.95</v>
      </c>
      <c r="AP128" s="3">
        <v>239872.23000000007</v>
      </c>
      <c r="AQ128" s="3">
        <v>41275.719999999943</v>
      </c>
      <c r="AR128" s="3">
        <v>17.207377444233511</v>
      </c>
      <c r="AS128" s="3">
        <v>14.681138525107491</v>
      </c>
      <c r="AT128" s="3">
        <v>624</v>
      </c>
      <c r="AU128" s="3">
        <v>16848</v>
      </c>
      <c r="AV128" s="3">
        <v>0</v>
      </c>
      <c r="AW128" s="3">
        <v>16848</v>
      </c>
      <c r="AX128" s="3">
        <v>0</v>
      </c>
      <c r="AY128" s="3">
        <v>100</v>
      </c>
    </row>
    <row r="129" spans="1:51" x14ac:dyDescent="0.2">
      <c r="A129">
        <v>128</v>
      </c>
      <c r="B129" s="4">
        <v>46150</v>
      </c>
      <c r="C129" s="3"/>
      <c r="D129" s="3"/>
      <c r="E129" s="3">
        <v>1525.1999999999998</v>
      </c>
      <c r="F129" s="3">
        <v>229585.70199999999</v>
      </c>
      <c r="G129" s="3">
        <v>8</v>
      </c>
      <c r="H129" s="3">
        <v>22550</v>
      </c>
      <c r="I129" s="3">
        <v>254758</v>
      </c>
      <c r="J129" s="3">
        <v>81</v>
      </c>
      <c r="K129" s="3">
        <v>98690</v>
      </c>
      <c r="L129" s="3">
        <v>321509</v>
      </c>
      <c r="M129" s="3">
        <v>8</v>
      </c>
      <c r="N129" s="3">
        <v>12800</v>
      </c>
      <c r="O129" s="3">
        <v>30414</v>
      </c>
      <c r="P129" s="3">
        <v>0</v>
      </c>
      <c r="Q129" s="3">
        <v>8</v>
      </c>
      <c r="R129" s="3">
        <v>37161</v>
      </c>
      <c r="S129" s="3">
        <v>528</v>
      </c>
      <c r="T129" s="3">
        <v>2844164</v>
      </c>
      <c r="U129" s="3">
        <v>121115</v>
      </c>
      <c r="V129" s="3">
        <v>82666</v>
      </c>
      <c r="W129" s="3">
        <v>2.71</v>
      </c>
      <c r="X129" s="3">
        <v>1.98</v>
      </c>
      <c r="AA129" t="s">
        <v>51</v>
      </c>
      <c r="AB129" s="3">
        <v>5697500</v>
      </c>
      <c r="AC129" s="3">
        <v>807138</v>
      </c>
      <c r="AD129" s="3">
        <v>378332.81465000007</v>
      </c>
      <c r="AE129" s="3">
        <v>428805.18534999993</v>
      </c>
      <c r="AF129" s="3">
        <v>113.34073301220049</v>
      </c>
      <c r="AG129" s="3">
        <v>53.126625849606882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s="3">
        <v>11472.390000000001</v>
      </c>
      <c r="AO129" s="3">
        <v>273669.94000000006</v>
      </c>
      <c r="AP129" s="3">
        <v>237472.67499999996</v>
      </c>
      <c r="AQ129" s="3">
        <v>36197.265000000101</v>
      </c>
      <c r="AR129" s="3">
        <v>15.242707397809077</v>
      </c>
      <c r="AS129" s="3">
        <v>13.226613416146508</v>
      </c>
      <c r="AT129" s="3">
        <v>487.56</v>
      </c>
      <c r="AU129" s="3">
        <v>13164.12</v>
      </c>
      <c r="AV129" s="3">
        <v>0</v>
      </c>
      <c r="AW129" s="3">
        <v>13164.12</v>
      </c>
      <c r="AX129" s="3">
        <v>0</v>
      </c>
      <c r="AY129" s="3">
        <v>100</v>
      </c>
    </row>
    <row r="130" spans="1:51" x14ac:dyDescent="0.2">
      <c r="A130">
        <v>129</v>
      </c>
      <c r="B130" s="4">
        <v>46151</v>
      </c>
      <c r="C130" s="3">
        <v>34470</v>
      </c>
      <c r="D130" s="3">
        <v>60357.760000000002</v>
      </c>
      <c r="E130" s="3">
        <v>36291.56</v>
      </c>
      <c r="F130" s="3">
        <v>268481.38</v>
      </c>
      <c r="G130" s="3">
        <v>6</v>
      </c>
      <c r="H130" s="3">
        <v>24570</v>
      </c>
      <c r="I130" s="3">
        <v>247419</v>
      </c>
      <c r="J130" s="3">
        <v>128</v>
      </c>
      <c r="K130" s="3">
        <v>86680</v>
      </c>
      <c r="L130" s="3">
        <v>141736</v>
      </c>
      <c r="M130" s="3">
        <v>11</v>
      </c>
      <c r="N130" s="3">
        <v>18100</v>
      </c>
      <c r="O130" s="3">
        <v>40172</v>
      </c>
      <c r="P130" s="3">
        <v>580</v>
      </c>
      <c r="Q130" s="3">
        <v>12</v>
      </c>
      <c r="R130" s="3">
        <v>48944</v>
      </c>
      <c r="S130" s="3">
        <v>384</v>
      </c>
      <c r="T130" s="3">
        <v>1692006</v>
      </c>
      <c r="U130" s="3">
        <v>111761</v>
      </c>
      <c r="V130" s="3">
        <v>-3798</v>
      </c>
      <c r="W130" s="3">
        <v>0</v>
      </c>
      <c r="X130" s="3">
        <v>3.98</v>
      </c>
      <c r="AA130" t="s">
        <v>51</v>
      </c>
      <c r="AB130" s="3">
        <v>2118700</v>
      </c>
      <c r="AC130" s="3">
        <v>279934.49</v>
      </c>
      <c r="AD130" s="3">
        <v>198059.05761799999</v>
      </c>
      <c r="AE130" s="3">
        <v>81875.432381999999</v>
      </c>
      <c r="AF130" s="3">
        <v>41.338898289577145</v>
      </c>
      <c r="AG130" s="3">
        <v>29.248068854252296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s="3">
        <v>10030.220000000001</v>
      </c>
      <c r="AO130" s="3">
        <v>235709.94000000003</v>
      </c>
      <c r="AP130" s="3">
        <v>198672.05000000002</v>
      </c>
      <c r="AQ130" s="3">
        <v>37037.890000000014</v>
      </c>
      <c r="AR130" s="3">
        <v>18.642728053593853</v>
      </c>
      <c r="AS130" s="3">
        <v>15.713333939162688</v>
      </c>
      <c r="AT130" s="3">
        <v>307</v>
      </c>
      <c r="AU130" s="3">
        <v>19373</v>
      </c>
      <c r="AV130" s="3">
        <v>0</v>
      </c>
      <c r="AW130" s="3">
        <v>19373</v>
      </c>
      <c r="AX130" s="3">
        <v>0</v>
      </c>
      <c r="AY130" s="3">
        <v>100</v>
      </c>
    </row>
    <row r="131" spans="1:51" x14ac:dyDescent="0.2">
      <c r="A131">
        <v>130</v>
      </c>
      <c r="B131" s="4">
        <v>46152</v>
      </c>
      <c r="C131" s="3"/>
      <c r="D131" s="3"/>
      <c r="E131" s="3">
        <v>0</v>
      </c>
      <c r="F131" s="3">
        <v>0</v>
      </c>
      <c r="G131" s="3"/>
      <c r="H131" s="3"/>
      <c r="I131" s="3"/>
      <c r="J131" s="3">
        <v>53</v>
      </c>
      <c r="K131" s="3">
        <v>56820</v>
      </c>
      <c r="L131" s="3">
        <v>138674</v>
      </c>
      <c r="M131" s="3">
        <v>5</v>
      </c>
      <c r="N131" s="3">
        <v>8710</v>
      </c>
      <c r="O131" s="3">
        <v>30696</v>
      </c>
      <c r="P131" s="3">
        <v>0</v>
      </c>
      <c r="Q131" s="3">
        <v>12</v>
      </c>
      <c r="R131" s="3">
        <v>43945</v>
      </c>
      <c r="S131" s="3">
        <v>181</v>
      </c>
      <c r="T131" s="3">
        <v>290000</v>
      </c>
      <c r="U131" s="3">
        <v>36022</v>
      </c>
      <c r="V131" s="3">
        <v>0</v>
      </c>
      <c r="W131" s="3">
        <v>0</v>
      </c>
      <c r="X131" s="3">
        <v>0</v>
      </c>
      <c r="AA131" t="s">
        <v>51</v>
      </c>
      <c r="AB131" s="3">
        <v>194400</v>
      </c>
      <c r="AC131" s="3">
        <v>4242.59</v>
      </c>
      <c r="AD131" s="3">
        <v>9102.7890000000007</v>
      </c>
      <c r="AE131" s="3">
        <v>-4860.1990000000005</v>
      </c>
      <c r="AF131" s="3">
        <v>0</v>
      </c>
      <c r="AG131" s="3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441.1</v>
      </c>
      <c r="AU131" s="3">
        <v>12791.9</v>
      </c>
      <c r="AV131" s="3">
        <v>0</v>
      </c>
      <c r="AW131" s="3">
        <v>12791.9</v>
      </c>
      <c r="AX131" s="3">
        <v>0</v>
      </c>
      <c r="AY131" s="3">
        <v>100</v>
      </c>
    </row>
    <row r="132" spans="1:51" x14ac:dyDescent="0.2">
      <c r="A132">
        <v>131</v>
      </c>
      <c r="B132" s="4">
        <v>46153</v>
      </c>
      <c r="C132" s="3"/>
      <c r="D132" s="3"/>
      <c r="E132" s="3">
        <v>0</v>
      </c>
      <c r="F132" s="3"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>
        <v>0</v>
      </c>
      <c r="W132" s="3">
        <v>0</v>
      </c>
      <c r="X132" s="3">
        <v>0</v>
      </c>
      <c r="AA132" t="s">
        <v>51</v>
      </c>
      <c r="AB132" s="3">
        <v>54000</v>
      </c>
      <c r="AC132" s="3">
        <v>21708</v>
      </c>
      <c r="AD132" s="3">
        <v>17266.5144</v>
      </c>
      <c r="AE132" s="3">
        <v>4441.4856</v>
      </c>
      <c r="AF132" s="3">
        <v>25.723116415435882</v>
      </c>
      <c r="AG132" s="3">
        <v>20.460132669983416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</row>
    <row r="133" spans="1:51" x14ac:dyDescent="0.2">
      <c r="A133">
        <v>132</v>
      </c>
      <c r="B133" s="4">
        <v>46154</v>
      </c>
      <c r="C133" s="3"/>
      <c r="D133" s="3"/>
      <c r="E133" s="3">
        <v>1777.56</v>
      </c>
      <c r="F133" s="3">
        <v>194411.28</v>
      </c>
      <c r="G133" s="3">
        <v>7</v>
      </c>
      <c r="H133" s="3">
        <v>24450</v>
      </c>
      <c r="I133" s="3">
        <v>246210</v>
      </c>
      <c r="J133" s="3">
        <v>127</v>
      </c>
      <c r="K133" s="3">
        <v>71830</v>
      </c>
      <c r="L133" s="3">
        <v>137094</v>
      </c>
      <c r="M133" s="3">
        <v>10</v>
      </c>
      <c r="N133" s="3">
        <v>15970</v>
      </c>
      <c r="O133" s="3">
        <v>45001</v>
      </c>
      <c r="P133" s="3">
        <v>220</v>
      </c>
      <c r="Q133" s="3">
        <v>15</v>
      </c>
      <c r="R133" s="3">
        <v>47244</v>
      </c>
      <c r="S133" s="3">
        <v>691</v>
      </c>
      <c r="T133" s="3">
        <v>1584290</v>
      </c>
      <c r="U133" s="3">
        <v>90230</v>
      </c>
      <c r="V133" s="3">
        <v>0</v>
      </c>
      <c r="W133" s="3">
        <v>0</v>
      </c>
      <c r="X133" s="3">
        <v>3.27</v>
      </c>
      <c r="AA133" t="s">
        <v>51</v>
      </c>
      <c r="AB133" s="3">
        <v>2946950</v>
      </c>
      <c r="AC133" s="3">
        <v>218429.00000000006</v>
      </c>
      <c r="AD133" s="3">
        <v>109227.49818000001</v>
      </c>
      <c r="AE133" s="3">
        <v>109201.50182000005</v>
      </c>
      <c r="AF133" s="3">
        <v>99.976199802766587</v>
      </c>
      <c r="AG133" s="3">
        <v>49.994049242545643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 s="3">
        <v>7338.95</v>
      </c>
      <c r="AO133" s="3">
        <v>159496.60999999999</v>
      </c>
      <c r="AP133" s="3">
        <v>142838.74000000002</v>
      </c>
      <c r="AQ133" s="3">
        <v>16657.869999999966</v>
      </c>
      <c r="AR133" s="3">
        <v>11.662011300295678</v>
      </c>
      <c r="AS133" s="3">
        <v>10.444027619144988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</row>
    <row r="134" spans="1:51" x14ac:dyDescent="0.2">
      <c r="A134">
        <v>133</v>
      </c>
      <c r="B134" s="4">
        <v>46155</v>
      </c>
      <c r="C134" s="3">
        <v>1338.7</v>
      </c>
      <c r="D134" s="3">
        <v>129004.5</v>
      </c>
      <c r="E134" s="3">
        <v>2262.3000000000002</v>
      </c>
      <c r="F134" s="3">
        <v>326276.8</v>
      </c>
      <c r="G134" s="3">
        <v>8</v>
      </c>
      <c r="H134" s="3">
        <v>24580</v>
      </c>
      <c r="I134" s="3">
        <v>252656</v>
      </c>
      <c r="J134" s="3">
        <v>178</v>
      </c>
      <c r="K134" s="3">
        <v>118545</v>
      </c>
      <c r="L134" s="3">
        <v>225115</v>
      </c>
      <c r="M134" s="3">
        <v>14</v>
      </c>
      <c r="N134" s="3">
        <v>22155</v>
      </c>
      <c r="O134" s="3">
        <v>31799</v>
      </c>
      <c r="P134" s="3">
        <v>405</v>
      </c>
      <c r="Q134" s="3">
        <v>14</v>
      </c>
      <c r="R134" s="3">
        <v>64208</v>
      </c>
      <c r="S134" s="3">
        <v>473</v>
      </c>
      <c r="T134" s="3">
        <v>694695</v>
      </c>
      <c r="U134" s="3">
        <v>78673</v>
      </c>
      <c r="V134" s="3">
        <v>28173</v>
      </c>
      <c r="W134" s="3">
        <v>3.58</v>
      </c>
      <c r="X134" s="3">
        <v>2.08</v>
      </c>
      <c r="AA134" t="s">
        <v>51</v>
      </c>
      <c r="AB134" s="3">
        <v>1525510</v>
      </c>
      <c r="AC134" s="3">
        <v>236727.73</v>
      </c>
      <c r="AD134" s="3">
        <v>92137.846449999983</v>
      </c>
      <c r="AE134" s="3">
        <v>144589.88355000003</v>
      </c>
      <c r="AF134" s="3">
        <v>156.92778713735612</v>
      </c>
      <c r="AG134" s="3">
        <v>61.078557864767269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s="3">
        <v>1567.86</v>
      </c>
      <c r="AO134" s="3">
        <v>50171.519999999997</v>
      </c>
      <c r="AP134" s="3">
        <v>46517.354999999989</v>
      </c>
      <c r="AQ134" s="3">
        <v>3654.1650000000081</v>
      </c>
      <c r="AR134" s="3">
        <v>7.855487484187373</v>
      </c>
      <c r="AS134" s="3">
        <v>7.2833452125827733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</row>
    <row r="135" spans="1:51" x14ac:dyDescent="0.2">
      <c r="A135">
        <v>134</v>
      </c>
      <c r="B135" s="4">
        <v>46156</v>
      </c>
      <c r="C135" s="3"/>
      <c r="D135" s="3"/>
      <c r="E135" s="3">
        <v>1181.79</v>
      </c>
      <c r="F135" s="3">
        <v>223516.38</v>
      </c>
      <c r="G135" s="3">
        <v>5</v>
      </c>
      <c r="H135" s="3">
        <v>16825</v>
      </c>
      <c r="I135" s="3">
        <v>195841</v>
      </c>
      <c r="J135" s="3">
        <v>115</v>
      </c>
      <c r="K135" s="3">
        <v>156325</v>
      </c>
      <c r="L135" s="3">
        <v>385760</v>
      </c>
      <c r="M135" s="3">
        <v>9</v>
      </c>
      <c r="N135" s="3">
        <v>13985</v>
      </c>
      <c r="O135" s="3">
        <v>21599</v>
      </c>
      <c r="P135" s="3">
        <v>270</v>
      </c>
      <c r="Q135" s="3">
        <v>8</v>
      </c>
      <c r="R135" s="3">
        <v>28723</v>
      </c>
      <c r="S135" s="3">
        <v>617</v>
      </c>
      <c r="T135" s="3">
        <v>795870</v>
      </c>
      <c r="U135" s="3">
        <v>78215</v>
      </c>
      <c r="V135" s="3">
        <v>-6040</v>
      </c>
      <c r="W135" s="3">
        <v>0</v>
      </c>
      <c r="X135" s="3">
        <v>11.05</v>
      </c>
      <c r="AA135" t="s">
        <v>51</v>
      </c>
      <c r="AB135" s="3">
        <v>453590</v>
      </c>
      <c r="AC135" s="3">
        <v>89026.22</v>
      </c>
      <c r="AD135" s="3">
        <v>58042.999400000008</v>
      </c>
      <c r="AE135" s="3">
        <v>30983.220599999993</v>
      </c>
      <c r="AF135" s="3">
        <v>53.37977175590273</v>
      </c>
      <c r="AG135" s="3">
        <v>34.802354407499266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s="3">
        <v>20695.429999999997</v>
      </c>
      <c r="AO135" s="3">
        <v>546788.22999999847</v>
      </c>
      <c r="AP135" s="3">
        <v>429167.78499999997</v>
      </c>
      <c r="AQ135" s="3">
        <v>117620.44499999849</v>
      </c>
      <c r="AR135" s="3">
        <v>27.406634214168356</v>
      </c>
      <c r="AS135" s="3">
        <v>21.511151584224631</v>
      </c>
      <c r="AT135" s="3">
        <v>1</v>
      </c>
      <c r="AU135" s="3">
        <v>750</v>
      </c>
      <c r="AV135" s="3">
        <v>0</v>
      </c>
      <c r="AW135" s="3">
        <v>750</v>
      </c>
      <c r="AX135" s="3">
        <v>0</v>
      </c>
      <c r="AY135" s="3">
        <v>100</v>
      </c>
    </row>
    <row r="136" spans="1:51" x14ac:dyDescent="0.2">
      <c r="A136">
        <v>135</v>
      </c>
      <c r="B136" s="4">
        <v>46157</v>
      </c>
      <c r="C136" s="3">
        <v>100</v>
      </c>
      <c r="D136" s="3">
        <v>8525</v>
      </c>
      <c r="E136" s="3">
        <v>830.44</v>
      </c>
      <c r="F136" s="3">
        <v>170087.432</v>
      </c>
      <c r="G136" s="3">
        <v>7</v>
      </c>
      <c r="H136" s="3">
        <v>12690</v>
      </c>
      <c r="I136" s="3">
        <v>151048</v>
      </c>
      <c r="J136" s="3">
        <v>55</v>
      </c>
      <c r="K136" s="3">
        <v>63970</v>
      </c>
      <c r="L136" s="3">
        <v>146920</v>
      </c>
      <c r="M136" s="3">
        <v>5</v>
      </c>
      <c r="N136" s="3">
        <v>8380</v>
      </c>
      <c r="O136" s="3">
        <v>17409</v>
      </c>
      <c r="P136" s="3">
        <v>80</v>
      </c>
      <c r="Q136" s="3">
        <v>18</v>
      </c>
      <c r="R136" s="3">
        <v>60165</v>
      </c>
      <c r="S136" s="3">
        <v>151</v>
      </c>
      <c r="T136" s="3">
        <v>454330</v>
      </c>
      <c r="U136" s="3">
        <v>37840</v>
      </c>
      <c r="V136" s="3">
        <v>-6040</v>
      </c>
      <c r="W136" s="3">
        <v>0</v>
      </c>
      <c r="X136" s="3">
        <v>0</v>
      </c>
      <c r="AA136" t="s">
        <v>51</v>
      </c>
      <c r="AB136" s="3">
        <v>1362120</v>
      </c>
      <c r="AC136" s="3">
        <v>190217.56000000003</v>
      </c>
      <c r="AD136" s="3">
        <v>112610.25670000003</v>
      </c>
      <c r="AE136" s="3">
        <v>77607.3033</v>
      </c>
      <c r="AF136" s="3">
        <v>68.916727103065014</v>
      </c>
      <c r="AG136" s="3">
        <v>40.799231837481244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s="3">
        <v>16285.049999999992</v>
      </c>
      <c r="AO136" s="3">
        <v>394404.26999999973</v>
      </c>
      <c r="AP136" s="3">
        <v>324929.39500000008</v>
      </c>
      <c r="AQ136" s="3">
        <v>69474.874999999651</v>
      </c>
      <c r="AR136" s="3">
        <v>21.381529670468762</v>
      </c>
      <c r="AS136" s="3">
        <v>17.615142706238878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</row>
    <row r="137" spans="1:51" x14ac:dyDescent="0.2">
      <c r="A137">
        <v>136</v>
      </c>
      <c r="B137" s="4">
        <v>46158</v>
      </c>
      <c r="C137" s="3">
        <v>70560</v>
      </c>
      <c r="D137" s="3">
        <v>1284.19</v>
      </c>
      <c r="E137" s="3">
        <v>47468</v>
      </c>
      <c r="F137" s="3">
        <v>58743.11</v>
      </c>
      <c r="G137" s="3">
        <v>1</v>
      </c>
      <c r="H137" s="3">
        <v>1720</v>
      </c>
      <c r="I137" s="3">
        <v>19040</v>
      </c>
      <c r="J137" s="3">
        <v>58</v>
      </c>
      <c r="K137" s="3">
        <v>73495</v>
      </c>
      <c r="L137" s="3">
        <v>172119</v>
      </c>
      <c r="M137" s="3">
        <v>7</v>
      </c>
      <c r="N137" s="3">
        <v>8210</v>
      </c>
      <c r="O137" s="3">
        <v>25181</v>
      </c>
      <c r="P137" s="3">
        <v>185</v>
      </c>
      <c r="Q137" s="3">
        <v>22</v>
      </c>
      <c r="R137" s="3">
        <v>44416</v>
      </c>
      <c r="S137" s="3">
        <v>636</v>
      </c>
      <c r="T137" s="3">
        <v>561770</v>
      </c>
      <c r="U137" s="3">
        <v>86260</v>
      </c>
      <c r="V137" s="3">
        <v>0</v>
      </c>
      <c r="W137" s="3">
        <v>0</v>
      </c>
      <c r="X137" s="3">
        <v>9.89</v>
      </c>
      <c r="AA137" t="s">
        <v>51</v>
      </c>
      <c r="AB137" s="3">
        <v>718995</v>
      </c>
      <c r="AC137" s="3">
        <v>145114.1</v>
      </c>
      <c r="AD137" s="3">
        <v>89081.563699999984</v>
      </c>
      <c r="AE137" s="3">
        <v>56032.536300000022</v>
      </c>
      <c r="AF137" s="3">
        <v>62.900261257986912</v>
      </c>
      <c r="AG137" s="3">
        <v>38.612744247457705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s="3">
        <v>11201.28</v>
      </c>
      <c r="AO137" s="3">
        <v>268830.71999999991</v>
      </c>
      <c r="AP137" s="3">
        <v>222077.98500000007</v>
      </c>
      <c r="AQ137" s="3">
        <v>46752.734999999841</v>
      </c>
      <c r="AR137" s="3">
        <v>21.052395175505499</v>
      </c>
      <c r="AS137" s="3">
        <v>17.391143021154669</v>
      </c>
      <c r="AT137" s="3">
        <v>47442.86</v>
      </c>
      <c r="AU137" s="3">
        <v>12377.599999999999</v>
      </c>
      <c r="AV137" s="3">
        <v>940.80000000000007</v>
      </c>
      <c r="AW137" s="3">
        <v>11436.8</v>
      </c>
      <c r="AX137" s="3">
        <v>1215.6462585034012</v>
      </c>
      <c r="AY137" s="3">
        <v>92.399172699069283</v>
      </c>
    </row>
    <row r="138" spans="1:51" x14ac:dyDescent="0.2">
      <c r="A138">
        <v>137</v>
      </c>
      <c r="B138" s="4">
        <v>46159</v>
      </c>
      <c r="C138" s="3">
        <v>34830</v>
      </c>
      <c r="D138" s="3">
        <v>47960.67</v>
      </c>
      <c r="E138" s="3">
        <v>36282.300000000003</v>
      </c>
      <c r="F138" s="3">
        <v>243322.66800000003</v>
      </c>
      <c r="G138" s="3">
        <v>10</v>
      </c>
      <c r="H138" s="3">
        <v>21600</v>
      </c>
      <c r="I138" s="3">
        <v>239111</v>
      </c>
      <c r="J138" s="3">
        <v>45</v>
      </c>
      <c r="K138" s="3">
        <v>80930</v>
      </c>
      <c r="L138" s="3">
        <v>202476</v>
      </c>
      <c r="M138" s="3">
        <v>8</v>
      </c>
      <c r="N138" s="3">
        <v>10860</v>
      </c>
      <c r="O138" s="3">
        <v>41182</v>
      </c>
      <c r="P138" s="3">
        <v>155</v>
      </c>
      <c r="Q138" s="3">
        <v>13</v>
      </c>
      <c r="R138" s="3">
        <v>38387</v>
      </c>
      <c r="S138" s="3">
        <v>671</v>
      </c>
      <c r="T138" s="3">
        <v>639370</v>
      </c>
      <c r="U138" s="3">
        <v>42715</v>
      </c>
      <c r="V138" s="3">
        <v>1321</v>
      </c>
      <c r="W138" s="3">
        <v>0.19</v>
      </c>
      <c r="X138" s="3">
        <v>0</v>
      </c>
      <c r="AA138" t="s">
        <v>51</v>
      </c>
      <c r="AB138" s="3">
        <v>385600</v>
      </c>
      <c r="AC138" s="3">
        <v>39957.599999999999</v>
      </c>
      <c r="AD138" s="3">
        <v>14558.058000000001</v>
      </c>
      <c r="AE138" s="3">
        <v>25399.541999999998</v>
      </c>
      <c r="AF138" s="3">
        <v>174.47067459134999</v>
      </c>
      <c r="AG138" s="3">
        <v>63.566235209321874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</row>
    <row r="139" spans="1:51" x14ac:dyDescent="0.2">
      <c r="A139">
        <v>138</v>
      </c>
      <c r="B139" s="4">
        <v>46160</v>
      </c>
      <c r="C139" s="3">
        <v>240</v>
      </c>
      <c r="D139" s="3">
        <v>30870</v>
      </c>
      <c r="E139" s="3">
        <v>2024.6</v>
      </c>
      <c r="F139" s="3">
        <v>215149.8</v>
      </c>
      <c r="G139" s="3">
        <v>6</v>
      </c>
      <c r="H139" s="3">
        <v>24970</v>
      </c>
      <c r="I139" s="3">
        <v>241460</v>
      </c>
      <c r="J139" s="3"/>
      <c r="K139" s="3"/>
      <c r="L139" s="3"/>
      <c r="M139" s="3"/>
      <c r="N139" s="3"/>
      <c r="O139" s="3"/>
      <c r="P139" s="3"/>
      <c r="Q139" s="3">
        <v>2</v>
      </c>
      <c r="R139" s="3">
        <v>5763</v>
      </c>
      <c r="S139" s="3"/>
      <c r="T139" s="3"/>
      <c r="U139" s="3"/>
      <c r="V139" s="3">
        <v>0</v>
      </c>
      <c r="W139" s="3">
        <v>0</v>
      </c>
      <c r="X139" s="3">
        <v>0</v>
      </c>
      <c r="AA139" t="s">
        <v>51</v>
      </c>
      <c r="AB139" s="3">
        <v>211130</v>
      </c>
      <c r="AC139" s="3">
        <v>106274.7</v>
      </c>
      <c r="AD139" s="3">
        <v>39642.258979999999</v>
      </c>
      <c r="AE139" s="3">
        <v>66632.441019999998</v>
      </c>
      <c r="AF139" s="3">
        <v>168.08436939382509</v>
      </c>
      <c r="AG139" s="3">
        <v>62.698310152839767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</row>
    <row r="140" spans="1:51" x14ac:dyDescent="0.2">
      <c r="A140">
        <v>139</v>
      </c>
      <c r="B140" s="4">
        <v>46161</v>
      </c>
      <c r="C140" s="3"/>
      <c r="D140" s="3"/>
      <c r="E140" s="3">
        <v>2076.7799999999997</v>
      </c>
      <c r="F140" s="3">
        <v>215266.16000000003</v>
      </c>
      <c r="G140" s="3">
        <v>6</v>
      </c>
      <c r="H140" s="3">
        <v>21530</v>
      </c>
      <c r="I140" s="3">
        <v>208195</v>
      </c>
      <c r="J140" s="3">
        <v>73</v>
      </c>
      <c r="K140" s="3">
        <v>106725</v>
      </c>
      <c r="L140" s="3">
        <v>391549</v>
      </c>
      <c r="M140" s="3">
        <v>16</v>
      </c>
      <c r="N140" s="3">
        <v>24900</v>
      </c>
      <c r="O140" s="3">
        <v>38991</v>
      </c>
      <c r="P140" s="3">
        <v>350</v>
      </c>
      <c r="Q140" s="3">
        <v>17</v>
      </c>
      <c r="R140" s="3">
        <v>69328</v>
      </c>
      <c r="S140" s="3">
        <v>517</v>
      </c>
      <c r="T140" s="3">
        <v>1169830</v>
      </c>
      <c r="U140" s="3">
        <v>116067</v>
      </c>
      <c r="V140" s="3">
        <v>0</v>
      </c>
      <c r="W140" s="3">
        <v>0</v>
      </c>
      <c r="X140" s="3">
        <v>5.75</v>
      </c>
      <c r="AA140" t="s">
        <v>51</v>
      </c>
      <c r="AB140" s="3">
        <v>1260500</v>
      </c>
      <c r="AC140" s="3">
        <v>159780.34000000003</v>
      </c>
      <c r="AD140" s="3">
        <v>103637.96834000002</v>
      </c>
      <c r="AE140" s="3">
        <v>56142.371660000004</v>
      </c>
      <c r="AF140" s="3">
        <v>54.171625089963612</v>
      </c>
      <c r="AG140" s="3">
        <v>35.1372213001925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s="3">
        <v>660</v>
      </c>
      <c r="AO140" s="3">
        <v>15840</v>
      </c>
      <c r="AP140" s="3">
        <v>12275.999999999998</v>
      </c>
      <c r="AQ140" s="3">
        <v>3564.0000000000018</v>
      </c>
      <c r="AR140" s="3">
        <v>29.032258064516149</v>
      </c>
      <c r="AS140" s="3">
        <v>22.500000000000011</v>
      </c>
      <c r="AT140" s="3">
        <v>1150.7399999999998</v>
      </c>
      <c r="AU140" s="3">
        <v>29253.619999999995</v>
      </c>
      <c r="AV140" s="3">
        <v>0</v>
      </c>
      <c r="AW140" s="3">
        <v>29253.619999999995</v>
      </c>
      <c r="AX140" s="3">
        <v>0</v>
      </c>
      <c r="AY140" s="3">
        <v>100</v>
      </c>
    </row>
    <row r="141" spans="1:51" x14ac:dyDescent="0.2">
      <c r="A141">
        <v>140</v>
      </c>
      <c r="B141" s="4">
        <v>46162</v>
      </c>
      <c r="C141" s="3">
        <v>6215.5</v>
      </c>
      <c r="D141" s="3">
        <v>585478</v>
      </c>
      <c r="E141" s="3">
        <v>1220</v>
      </c>
      <c r="F141" s="3">
        <v>125141</v>
      </c>
      <c r="G141" s="3">
        <v>5</v>
      </c>
      <c r="H141" s="3">
        <v>19830</v>
      </c>
      <c r="I141" s="3">
        <v>191756</v>
      </c>
      <c r="J141" s="3">
        <v>83</v>
      </c>
      <c r="K141" s="3">
        <v>127190</v>
      </c>
      <c r="L141" s="3">
        <v>329641</v>
      </c>
      <c r="M141" s="3">
        <v>16</v>
      </c>
      <c r="N141" s="3">
        <v>27120</v>
      </c>
      <c r="O141" s="3">
        <v>93966</v>
      </c>
      <c r="P141" s="3">
        <v>350</v>
      </c>
      <c r="Q141" s="3">
        <v>10</v>
      </c>
      <c r="R141" s="3">
        <v>24092</v>
      </c>
      <c r="S141" s="3">
        <v>184</v>
      </c>
      <c r="T141" s="3">
        <v>1016550</v>
      </c>
      <c r="U141" s="3">
        <v>51195</v>
      </c>
      <c r="V141" s="3">
        <v>0</v>
      </c>
      <c r="W141" s="3">
        <v>0</v>
      </c>
      <c r="X141" s="3">
        <v>10.55</v>
      </c>
      <c r="AA141" t="s">
        <v>51</v>
      </c>
      <c r="AB141" s="3">
        <v>1342600</v>
      </c>
      <c r="AC141" s="3">
        <v>228092.68</v>
      </c>
      <c r="AD141" s="3">
        <v>106669.09699999998</v>
      </c>
      <c r="AE141" s="3">
        <v>121423.58300000001</v>
      </c>
      <c r="AF141" s="3">
        <v>113.83201547117254</v>
      </c>
      <c r="AG141" s="3">
        <v>53.234318172770834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s="3">
        <v>20780.379999999994</v>
      </c>
      <c r="AO141" s="3">
        <v>598283.79999999993</v>
      </c>
      <c r="AP141" s="3">
        <v>456095.7650000006</v>
      </c>
      <c r="AQ141" s="3">
        <v>142188.03499999933</v>
      </c>
      <c r="AR141" s="3">
        <v>31.175039522675497</v>
      </c>
      <c r="AS141" s="3">
        <v>23.765984470914866</v>
      </c>
      <c r="AT141" s="3">
        <v>29</v>
      </c>
      <c r="AU141" s="3">
        <v>41050</v>
      </c>
      <c r="AV141" s="3">
        <v>0</v>
      </c>
      <c r="AW141" s="3">
        <v>41050</v>
      </c>
      <c r="AX141" s="3">
        <v>0</v>
      </c>
      <c r="AY141" s="3">
        <v>100</v>
      </c>
    </row>
    <row r="142" spans="1:51" x14ac:dyDescent="0.2">
      <c r="A142">
        <v>141</v>
      </c>
      <c r="B142" s="4">
        <v>46163</v>
      </c>
      <c r="C142" s="3">
        <v>14330</v>
      </c>
      <c r="D142" s="3">
        <v>19045.62</v>
      </c>
      <c r="E142" s="3">
        <v>15634</v>
      </c>
      <c r="F142" s="3">
        <v>160686.70000000001</v>
      </c>
      <c r="G142" s="3">
        <v>4</v>
      </c>
      <c r="H142" s="3">
        <v>17490</v>
      </c>
      <c r="I142" s="3">
        <v>171548</v>
      </c>
      <c r="J142" s="3">
        <v>66</v>
      </c>
      <c r="K142" s="3">
        <v>93075</v>
      </c>
      <c r="L142" s="3">
        <v>231840</v>
      </c>
      <c r="M142" s="3">
        <v>11</v>
      </c>
      <c r="N142" s="3">
        <v>15445</v>
      </c>
      <c r="O142" s="3">
        <v>62256</v>
      </c>
      <c r="P142" s="3">
        <v>220</v>
      </c>
      <c r="Q142" s="3">
        <v>4</v>
      </c>
      <c r="R142" s="3">
        <v>15195</v>
      </c>
      <c r="S142" s="3">
        <v>256</v>
      </c>
      <c r="T142" s="3">
        <v>915300</v>
      </c>
      <c r="U142" s="3">
        <v>96465</v>
      </c>
      <c r="V142" s="3">
        <v>0</v>
      </c>
      <c r="W142" s="3">
        <v>0</v>
      </c>
      <c r="X142" s="3">
        <v>3.46</v>
      </c>
      <c r="AA142" t="s">
        <v>51</v>
      </c>
      <c r="AB142" s="3">
        <v>805350</v>
      </c>
      <c r="AC142" s="3">
        <v>59223.770000000004</v>
      </c>
      <c r="AD142" s="3">
        <v>38219.740749999997</v>
      </c>
      <c r="AE142" s="3">
        <v>21004.029250000007</v>
      </c>
      <c r="AF142" s="3">
        <v>54.955969972140664</v>
      </c>
      <c r="AG142" s="3">
        <v>35.465539005706667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s="3">
        <v>10672.499999999998</v>
      </c>
      <c r="AO142" s="3">
        <v>250803.74999999997</v>
      </c>
      <c r="AP142" s="3">
        <v>199910.83499999999</v>
      </c>
      <c r="AQ142" s="3">
        <v>50892.914999999979</v>
      </c>
      <c r="AR142" s="3">
        <v>25.457807226906926</v>
      </c>
      <c r="AS142" s="3">
        <v>20.291927453237836</v>
      </c>
      <c r="AT142" s="3">
        <v>2</v>
      </c>
      <c r="AU142" s="3">
        <v>1600</v>
      </c>
      <c r="AV142" s="3">
        <v>0</v>
      </c>
      <c r="AW142" s="3">
        <v>1600</v>
      </c>
      <c r="AX142" s="3">
        <v>0</v>
      </c>
      <c r="AY142" s="3">
        <v>100</v>
      </c>
    </row>
    <row r="143" spans="1:51" x14ac:dyDescent="0.2">
      <c r="A143">
        <v>142</v>
      </c>
      <c r="B143" s="4">
        <v>46164</v>
      </c>
      <c r="C143" s="3">
        <v>8287</v>
      </c>
      <c r="D143" s="3">
        <v>1092554</v>
      </c>
      <c r="E143" s="3">
        <v>1290</v>
      </c>
      <c r="F143" s="3">
        <v>179181.93</v>
      </c>
      <c r="G143" s="3">
        <v>7</v>
      </c>
      <c r="H143" s="3">
        <v>23520</v>
      </c>
      <c r="I143" s="3">
        <v>236846</v>
      </c>
      <c r="J143" s="3">
        <v>74</v>
      </c>
      <c r="K143" s="3">
        <v>91842</v>
      </c>
      <c r="L143" s="3">
        <v>305748</v>
      </c>
      <c r="M143" s="3">
        <v>13</v>
      </c>
      <c r="N143" s="3">
        <v>19700</v>
      </c>
      <c r="O143" s="3">
        <v>48801</v>
      </c>
      <c r="P143" s="3">
        <v>401</v>
      </c>
      <c r="Q143" s="3">
        <v>19</v>
      </c>
      <c r="R143" s="3">
        <v>89301</v>
      </c>
      <c r="S143" s="3">
        <v>385</v>
      </c>
      <c r="T143" s="3">
        <v>532370</v>
      </c>
      <c r="U143" s="3">
        <v>100907</v>
      </c>
      <c r="V143" s="3">
        <v>0</v>
      </c>
      <c r="W143" s="3">
        <v>0</v>
      </c>
      <c r="X143" s="3">
        <v>11.72</v>
      </c>
      <c r="AA143" t="s">
        <v>51</v>
      </c>
      <c r="AB143" s="3">
        <v>422310</v>
      </c>
      <c r="AC143" s="3">
        <v>127684.9</v>
      </c>
      <c r="AD143" s="3">
        <v>108443.44565999997</v>
      </c>
      <c r="AE143" s="3">
        <v>19241.454340000026</v>
      </c>
      <c r="AF143" s="3">
        <v>17.743307788584364</v>
      </c>
      <c r="AG143" s="3">
        <v>15.069483032057846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s="3">
        <v>5999.6900000000005</v>
      </c>
      <c r="AO143" s="3">
        <v>144260.51</v>
      </c>
      <c r="AP143" s="3">
        <v>113338.83199999997</v>
      </c>
      <c r="AQ143" s="3">
        <v>30921.678000000044</v>
      </c>
      <c r="AR143" s="3">
        <v>27.282509846228216</v>
      </c>
      <c r="AS143" s="3">
        <v>21.434610206216547</v>
      </c>
      <c r="AT143" s="3">
        <v>4070.4399999999996</v>
      </c>
      <c r="AU143" s="3">
        <v>102177.07999999999</v>
      </c>
      <c r="AV143" s="3">
        <v>0</v>
      </c>
      <c r="AW143" s="3">
        <v>102177.07999999999</v>
      </c>
      <c r="AX143" s="3">
        <v>0</v>
      </c>
      <c r="AY143" s="3">
        <v>100</v>
      </c>
    </row>
    <row r="144" spans="1:51" x14ac:dyDescent="0.2">
      <c r="A144">
        <v>143</v>
      </c>
      <c r="B144" s="4">
        <v>46165</v>
      </c>
      <c r="C144" s="3"/>
      <c r="D144" s="3"/>
      <c r="E144" s="3">
        <v>1377</v>
      </c>
      <c r="F144" s="3">
        <v>148321.5</v>
      </c>
      <c r="G144" s="3">
        <v>7</v>
      </c>
      <c r="H144" s="3">
        <v>18400</v>
      </c>
      <c r="I144" s="3">
        <v>189887</v>
      </c>
      <c r="J144" s="3">
        <v>77</v>
      </c>
      <c r="K144" s="3">
        <v>118885</v>
      </c>
      <c r="L144" s="3">
        <v>256130</v>
      </c>
      <c r="M144" s="3">
        <v>14</v>
      </c>
      <c r="N144" s="3">
        <v>20875</v>
      </c>
      <c r="O144" s="3">
        <v>43898</v>
      </c>
      <c r="P144" s="3">
        <v>260</v>
      </c>
      <c r="Q144" s="3">
        <v>9</v>
      </c>
      <c r="R144" s="3">
        <v>28918</v>
      </c>
      <c r="S144" s="3">
        <v>620</v>
      </c>
      <c r="T144" s="3">
        <v>668062</v>
      </c>
      <c r="U144" s="3">
        <v>90418</v>
      </c>
      <c r="V144" s="3">
        <v>0</v>
      </c>
      <c r="W144" s="3">
        <v>0</v>
      </c>
      <c r="X144" s="3">
        <v>0</v>
      </c>
      <c r="AA144" t="s">
        <v>51</v>
      </c>
      <c r="AB144" s="3">
        <v>960310</v>
      </c>
      <c r="AC144" s="3">
        <v>130151.68000000001</v>
      </c>
      <c r="AD144" s="3">
        <v>105169.23157999999</v>
      </c>
      <c r="AE144" s="3">
        <v>24982.448420000015</v>
      </c>
      <c r="AF144" s="3">
        <v>23.754522158884843</v>
      </c>
      <c r="AG144" s="3">
        <v>19.194872029312272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s="3">
        <v>8190.73</v>
      </c>
      <c r="AO144" s="3">
        <v>207520.65999999997</v>
      </c>
      <c r="AP144" s="3">
        <v>165280.25399999999</v>
      </c>
      <c r="AQ144" s="3">
        <v>42240.405999999988</v>
      </c>
      <c r="AR144" s="3">
        <v>25.556837539709971</v>
      </c>
      <c r="AS144" s="3">
        <v>20.354795517708933</v>
      </c>
      <c r="AT144" s="3">
        <v>598.94000000000005</v>
      </c>
      <c r="AU144" s="3">
        <v>17139.379999999997</v>
      </c>
      <c r="AV144" s="3">
        <v>0</v>
      </c>
      <c r="AW144" s="3">
        <v>17139.379999999997</v>
      </c>
      <c r="AX144" s="3">
        <v>0</v>
      </c>
      <c r="AY144" s="3">
        <v>100</v>
      </c>
    </row>
    <row r="145" spans="1:51" x14ac:dyDescent="0.2">
      <c r="A145">
        <v>144</v>
      </c>
      <c r="B145" s="4">
        <v>46166</v>
      </c>
      <c r="C145" s="3">
        <v>6000</v>
      </c>
      <c r="D145" s="3">
        <v>29602.2</v>
      </c>
      <c r="E145" s="3">
        <v>7629</v>
      </c>
      <c r="F145" s="3">
        <v>262689.45</v>
      </c>
      <c r="G145" s="3">
        <v>7</v>
      </c>
      <c r="H145" s="3">
        <v>18570</v>
      </c>
      <c r="I145" s="3">
        <v>191642</v>
      </c>
      <c r="J145" s="3">
        <v>6</v>
      </c>
      <c r="K145" s="3">
        <v>6000</v>
      </c>
      <c r="L145" s="3">
        <v>29604</v>
      </c>
      <c r="M145" s="3">
        <v>6</v>
      </c>
      <c r="N145" s="3">
        <v>9458</v>
      </c>
      <c r="O145" s="3">
        <v>22663</v>
      </c>
      <c r="P145" s="3">
        <v>165</v>
      </c>
      <c r="Q145" s="3">
        <v>23</v>
      </c>
      <c r="R145" s="3">
        <v>79717</v>
      </c>
      <c r="S145" s="3">
        <v>298</v>
      </c>
      <c r="T145" s="3">
        <v>1502780</v>
      </c>
      <c r="U145" s="3">
        <v>81188</v>
      </c>
      <c r="V145" s="3">
        <v>7304</v>
      </c>
      <c r="W145" s="3">
        <v>0.47</v>
      </c>
      <c r="X145" s="3">
        <v>2.95</v>
      </c>
      <c r="AA145" t="s">
        <v>51</v>
      </c>
      <c r="AB145" s="3">
        <v>839572</v>
      </c>
      <c r="AC145" s="3">
        <v>94742.65</v>
      </c>
      <c r="AD145" s="3">
        <v>77936.859402000002</v>
      </c>
      <c r="AE145" s="3">
        <v>16805.790597999992</v>
      </c>
      <c r="AF145" s="3">
        <v>21.56334079529092</v>
      </c>
      <c r="AG145" s="3">
        <v>17.738358171319881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2782.4599999999996</v>
      </c>
      <c r="AU145" s="3">
        <v>77858.720000000001</v>
      </c>
      <c r="AV145" s="3">
        <v>0</v>
      </c>
      <c r="AW145" s="3">
        <v>77858.720000000001</v>
      </c>
      <c r="AX145" s="3">
        <v>0</v>
      </c>
      <c r="AY145" s="3">
        <v>100</v>
      </c>
    </row>
    <row r="146" spans="1:51" x14ac:dyDescent="0.2">
      <c r="A146">
        <v>145</v>
      </c>
      <c r="B146" s="4">
        <v>46167</v>
      </c>
      <c r="C146" s="3">
        <v>1723.6</v>
      </c>
      <c r="D146" s="3">
        <v>224068</v>
      </c>
      <c r="E146" s="3">
        <v>0</v>
      </c>
      <c r="F146" s="3"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>
        <v>0</v>
      </c>
      <c r="Q146" s="3">
        <v>2</v>
      </c>
      <c r="R146" s="3">
        <v>4586</v>
      </c>
      <c r="S146" s="3">
        <v>11</v>
      </c>
      <c r="T146" s="3">
        <v>41200</v>
      </c>
      <c r="U146" s="3">
        <v>3978</v>
      </c>
      <c r="V146" s="3">
        <v>0</v>
      </c>
      <c r="W146" s="3">
        <v>0</v>
      </c>
      <c r="X146" s="3">
        <v>9.5299999999999994</v>
      </c>
      <c r="AA146" t="s">
        <v>51</v>
      </c>
      <c r="AB146" s="3">
        <v>631560</v>
      </c>
      <c r="AC146" s="3">
        <v>80815.199999999997</v>
      </c>
      <c r="AD146" s="3">
        <v>41707.068540000007</v>
      </c>
      <c r="AE146" s="3">
        <v>39108.13145999999</v>
      </c>
      <c r="AF146" s="3">
        <v>93.768593260138971</v>
      </c>
      <c r="AG146" s="3">
        <v>48.392049342202945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</row>
    <row r="147" spans="1:51" x14ac:dyDescent="0.2">
      <c r="A147">
        <v>146</v>
      </c>
      <c r="B147" s="4">
        <v>46168</v>
      </c>
      <c r="C147" s="3">
        <v>4835.3900000000003</v>
      </c>
      <c r="D147" s="3">
        <v>434629.54</v>
      </c>
      <c r="E147" s="3">
        <v>25</v>
      </c>
      <c r="F147" s="3">
        <v>5775</v>
      </c>
      <c r="G147" s="3"/>
      <c r="H147" s="3"/>
      <c r="I147" s="3"/>
      <c r="J147" s="3">
        <v>109</v>
      </c>
      <c r="K147" s="3">
        <v>132925</v>
      </c>
      <c r="L147" s="3">
        <v>420206</v>
      </c>
      <c r="M147" s="3">
        <v>7</v>
      </c>
      <c r="N147" s="3">
        <v>12560</v>
      </c>
      <c r="O147" s="3">
        <v>25938</v>
      </c>
      <c r="P147" s="3">
        <v>245</v>
      </c>
      <c r="Q147" s="3">
        <v>9</v>
      </c>
      <c r="R147" s="3">
        <v>30035</v>
      </c>
      <c r="S147" s="3">
        <v>369</v>
      </c>
      <c r="T147" s="3">
        <v>923212</v>
      </c>
      <c r="U147" s="3">
        <v>36144</v>
      </c>
      <c r="V147" s="3">
        <v>0</v>
      </c>
      <c r="W147" s="3">
        <v>0</v>
      </c>
      <c r="X147" s="3">
        <v>5.32</v>
      </c>
      <c r="AA147" t="s">
        <v>51</v>
      </c>
      <c r="AB147" s="3">
        <v>714345</v>
      </c>
      <c r="AC147" s="3">
        <v>125121.4</v>
      </c>
      <c r="AD147" s="3">
        <v>42129.240879999998</v>
      </c>
      <c r="AE147" s="3">
        <v>82992.159119999997</v>
      </c>
      <c r="AF147" s="3">
        <v>196.99419544822331</v>
      </c>
      <c r="AG147" s="3">
        <v>66.329308271806426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s="3">
        <v>12504.470000000007</v>
      </c>
      <c r="AO147" s="3">
        <v>296259.99999999994</v>
      </c>
      <c r="AP147" s="3">
        <v>245777.20000000004</v>
      </c>
      <c r="AQ147" s="3">
        <v>50482.799999999901</v>
      </c>
      <c r="AR147" s="3">
        <v>20.540066369052905</v>
      </c>
      <c r="AS147" s="3">
        <v>17.040032403969459</v>
      </c>
      <c r="AT147" s="3">
        <v>4206</v>
      </c>
      <c r="AU147" s="3">
        <v>353304</v>
      </c>
      <c r="AV147" s="3">
        <v>349060.2</v>
      </c>
      <c r="AW147" s="3">
        <v>4243.7999999999884</v>
      </c>
      <c r="AX147" s="3">
        <v>1.215778825543556</v>
      </c>
      <c r="AY147" s="3">
        <v>1.2011751919027207</v>
      </c>
    </row>
    <row r="148" spans="1:51" x14ac:dyDescent="0.2">
      <c r="A148">
        <v>147</v>
      </c>
      <c r="B148" s="4">
        <v>46169</v>
      </c>
      <c r="C148" s="3">
        <v>28730</v>
      </c>
      <c r="D148" s="3">
        <v>321244.52</v>
      </c>
      <c r="E148" s="3">
        <v>28802</v>
      </c>
      <c r="F148" s="3">
        <v>414181.5</v>
      </c>
      <c r="G148" s="3">
        <v>5</v>
      </c>
      <c r="H148" s="3">
        <v>16300</v>
      </c>
      <c r="I148" s="3">
        <v>157621</v>
      </c>
      <c r="J148" s="3">
        <v>16</v>
      </c>
      <c r="K148" s="3">
        <v>26730</v>
      </c>
      <c r="L148" s="3">
        <v>54423</v>
      </c>
      <c r="M148" s="3">
        <v>11</v>
      </c>
      <c r="N148" s="3">
        <v>16110</v>
      </c>
      <c r="O148" s="3">
        <v>40672</v>
      </c>
      <c r="P148" s="3">
        <v>330</v>
      </c>
      <c r="Q148" s="3">
        <v>10</v>
      </c>
      <c r="R148" s="3">
        <v>34322</v>
      </c>
      <c r="S148" s="3">
        <v>361</v>
      </c>
      <c r="T148" s="3">
        <v>824700</v>
      </c>
      <c r="U148" s="3">
        <v>58276</v>
      </c>
      <c r="V148" s="3">
        <v>2418</v>
      </c>
      <c r="W148" s="3">
        <v>0.26</v>
      </c>
      <c r="X148" s="3">
        <v>10.51</v>
      </c>
      <c r="AA148" t="s">
        <v>51</v>
      </c>
      <c r="AB148" s="3">
        <v>552032</v>
      </c>
      <c r="AC148" s="3">
        <v>42068.99</v>
      </c>
      <c r="AD148" s="3">
        <v>25987.836496</v>
      </c>
      <c r="AE148" s="3">
        <v>16081.153503999998</v>
      </c>
      <c r="AF148" s="3">
        <v>61.879539324003282</v>
      </c>
      <c r="AG148" s="3">
        <v>38.225670509322896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s="3">
        <v>15963.72</v>
      </c>
      <c r="AO148" s="3">
        <v>371869.56000000006</v>
      </c>
      <c r="AP148" s="3">
        <v>329397.75499999977</v>
      </c>
      <c r="AQ148" s="3">
        <v>42471.805000000284</v>
      </c>
      <c r="AR148" s="3">
        <v>12.893774883195642</v>
      </c>
      <c r="AS148" s="3">
        <v>11.421156655037933</v>
      </c>
      <c r="AT148" s="3">
        <v>790.38000000000011</v>
      </c>
      <c r="AU148" s="3">
        <v>20356.16</v>
      </c>
      <c r="AV148" s="3">
        <v>0</v>
      </c>
      <c r="AW148" s="3">
        <v>20356.16</v>
      </c>
      <c r="AX148" s="3">
        <v>0</v>
      </c>
      <c r="AY148" s="3">
        <v>100</v>
      </c>
    </row>
    <row r="149" spans="1:51" x14ac:dyDescent="0.2">
      <c r="A149">
        <v>148</v>
      </c>
      <c r="B149" s="4">
        <v>46170</v>
      </c>
      <c r="C149" s="3">
        <v>2715</v>
      </c>
      <c r="D149" s="3">
        <v>16037.93</v>
      </c>
      <c r="E149" s="3">
        <v>4488.46</v>
      </c>
      <c r="F149" s="3">
        <v>210114.36000000002</v>
      </c>
      <c r="G149" s="3">
        <v>7</v>
      </c>
      <c r="H149" s="3">
        <v>26000</v>
      </c>
      <c r="I149" s="3">
        <v>251419</v>
      </c>
      <c r="J149" s="3">
        <v>17</v>
      </c>
      <c r="K149" s="3">
        <v>27315</v>
      </c>
      <c r="L149" s="3">
        <v>89712</v>
      </c>
      <c r="M149" s="3">
        <v>11</v>
      </c>
      <c r="N149" s="3">
        <v>14480</v>
      </c>
      <c r="O149" s="3">
        <v>42023</v>
      </c>
      <c r="P149" s="3">
        <v>415</v>
      </c>
      <c r="Q149" s="3">
        <v>8</v>
      </c>
      <c r="R149" s="3">
        <v>28466</v>
      </c>
      <c r="S149" s="3">
        <v>344</v>
      </c>
      <c r="T149" s="3">
        <v>455093</v>
      </c>
      <c r="U149" s="3">
        <v>34450</v>
      </c>
      <c r="V149" s="3">
        <v>1128</v>
      </c>
      <c r="W149" s="3">
        <v>0.24</v>
      </c>
      <c r="X149" s="3">
        <v>4.97</v>
      </c>
      <c r="AA149" t="s">
        <v>51</v>
      </c>
      <c r="AB149" s="3">
        <v>461490</v>
      </c>
      <c r="AC149" s="3">
        <v>68103.760000000009</v>
      </c>
      <c r="AD149" s="3">
        <v>38182.253660000002</v>
      </c>
      <c r="AE149" s="3">
        <v>29921.506340000007</v>
      </c>
      <c r="AF149" s="3">
        <v>78.364956155916971</v>
      </c>
      <c r="AG149" s="3">
        <v>43.935175297222948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384.08</v>
      </c>
      <c r="AU149" s="3">
        <v>10561.64</v>
      </c>
      <c r="AV149" s="3">
        <v>0</v>
      </c>
      <c r="AW149" s="3">
        <v>10561.64</v>
      </c>
      <c r="AX149" s="3">
        <v>0</v>
      </c>
      <c r="AY149" s="3">
        <v>100</v>
      </c>
    </row>
    <row r="150" spans="1:51" x14ac:dyDescent="0.2">
      <c r="A150">
        <v>149</v>
      </c>
      <c r="B150" s="4">
        <v>46171</v>
      </c>
      <c r="C150" s="3"/>
      <c r="D150" s="3"/>
      <c r="E150" s="3">
        <v>1760.5700000000002</v>
      </c>
      <c r="F150" s="3">
        <v>192962.94500000001</v>
      </c>
      <c r="G150" s="3">
        <v>7</v>
      </c>
      <c r="H150" s="3">
        <v>26590</v>
      </c>
      <c r="I150" s="3">
        <v>257125</v>
      </c>
      <c r="J150" s="3">
        <v>129</v>
      </c>
      <c r="K150" s="3">
        <v>154250</v>
      </c>
      <c r="L150" s="3">
        <v>395544</v>
      </c>
      <c r="M150" s="3">
        <v>5</v>
      </c>
      <c r="N150" s="3">
        <v>7250</v>
      </c>
      <c r="O150" s="3">
        <v>23697</v>
      </c>
      <c r="P150" s="3">
        <v>120</v>
      </c>
      <c r="Q150" s="3">
        <v>18</v>
      </c>
      <c r="R150" s="3">
        <v>44116</v>
      </c>
      <c r="S150" s="3">
        <v>325</v>
      </c>
      <c r="T150" s="3">
        <v>1337570</v>
      </c>
      <c r="U150" s="3">
        <v>39217</v>
      </c>
      <c r="V150" s="3">
        <v>26728</v>
      </c>
      <c r="W150" s="3">
        <v>1.98</v>
      </c>
      <c r="X150" s="3">
        <v>0</v>
      </c>
      <c r="AA150" t="s">
        <v>51</v>
      </c>
      <c r="AB150" s="3">
        <v>490678</v>
      </c>
      <c r="AC150" s="3">
        <v>42705.599999999999</v>
      </c>
      <c r="AD150" s="3">
        <v>34007.522239999998</v>
      </c>
      <c r="AE150" s="3">
        <v>8698.0777600000001</v>
      </c>
      <c r="AF150" s="3">
        <v>25.576922948444714</v>
      </c>
      <c r="AG150" s="3">
        <v>20.367534374882919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 s="3">
        <v>14498.029999999997</v>
      </c>
      <c r="AO150" s="3">
        <v>347011.94999999995</v>
      </c>
      <c r="AP150" s="3">
        <v>273693.32</v>
      </c>
      <c r="AQ150" s="3">
        <v>73318.629999999946</v>
      </c>
      <c r="AR150" s="3">
        <v>26.788607774570437</v>
      </c>
      <c r="AS150" s="3">
        <v>21.128560558217075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</row>
    <row r="151" spans="1:51" x14ac:dyDescent="0.2">
      <c r="A151">
        <v>150</v>
      </c>
      <c r="B151" s="4">
        <v>46172</v>
      </c>
      <c r="C151" s="3"/>
      <c r="D151" s="3"/>
      <c r="E151" s="3">
        <v>2109.6999999999998</v>
      </c>
      <c r="F151" s="3">
        <v>213739.95</v>
      </c>
      <c r="G151" s="3">
        <v>7</v>
      </c>
      <c r="H151" s="3">
        <v>25700</v>
      </c>
      <c r="I151" s="3">
        <v>257294</v>
      </c>
      <c r="J151" s="3">
        <v>92</v>
      </c>
      <c r="K151" s="3">
        <v>123905</v>
      </c>
      <c r="L151" s="3">
        <v>290416</v>
      </c>
      <c r="M151" s="3">
        <v>13</v>
      </c>
      <c r="N151" s="3">
        <v>20172</v>
      </c>
      <c r="O151" s="3">
        <v>75551</v>
      </c>
      <c r="P151" s="3">
        <v>88</v>
      </c>
      <c r="Q151" s="3">
        <v>11</v>
      </c>
      <c r="R151" s="3">
        <v>25753</v>
      </c>
      <c r="S151" s="3">
        <v>388</v>
      </c>
      <c r="T151" s="3">
        <v>2987350</v>
      </c>
      <c r="U151" s="3">
        <v>82697</v>
      </c>
      <c r="V151" s="3">
        <v>18880</v>
      </c>
      <c r="W151" s="3">
        <v>0.59</v>
      </c>
      <c r="X151" s="3">
        <v>4.22</v>
      </c>
      <c r="AA151" t="s">
        <v>51</v>
      </c>
      <c r="AB151" s="3">
        <v>734110</v>
      </c>
      <c r="AC151" s="3">
        <v>93684.66</v>
      </c>
      <c r="AD151" s="3">
        <v>58809.145320000011</v>
      </c>
      <c r="AE151" s="3">
        <v>34875.514679999993</v>
      </c>
      <c r="AF151" s="3">
        <v>59.30287626223911</v>
      </c>
      <c r="AG151" s="3">
        <v>37.22649436951577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 s="3">
        <v>12247.419999999995</v>
      </c>
      <c r="AO151" s="3">
        <v>292053.14000000007</v>
      </c>
      <c r="AP151" s="3">
        <v>229065.96999999988</v>
      </c>
      <c r="AQ151" s="3">
        <v>62987.170000000187</v>
      </c>
      <c r="AR151" s="3">
        <v>27.497392999929332</v>
      </c>
      <c r="AS151" s="3">
        <v>21.567023727257364</v>
      </c>
      <c r="AT151" s="3">
        <v>5</v>
      </c>
      <c r="AU151" s="3">
        <v>3750</v>
      </c>
      <c r="AV151" s="3">
        <v>0</v>
      </c>
      <c r="AW151" s="3">
        <v>3750</v>
      </c>
      <c r="AX151" s="3">
        <v>0</v>
      </c>
      <c r="AY151" s="3">
        <v>100</v>
      </c>
    </row>
    <row r="152" spans="1:51" x14ac:dyDescent="0.2">
      <c r="A152">
        <v>151</v>
      </c>
      <c r="B152" s="4">
        <v>46173</v>
      </c>
      <c r="C152" s="3"/>
      <c r="D152" s="3"/>
      <c r="E152" s="3">
        <v>1568.9999999999998</v>
      </c>
      <c r="F152" s="3">
        <v>232838.9</v>
      </c>
      <c r="G152" s="3">
        <v>8</v>
      </c>
      <c r="H152" s="3">
        <v>24400</v>
      </c>
      <c r="I152" s="3">
        <v>283368</v>
      </c>
      <c r="J152" s="3"/>
      <c r="K152" s="3"/>
      <c r="L152" s="3"/>
      <c r="M152" s="3">
        <v>14</v>
      </c>
      <c r="N152" s="3">
        <v>17795</v>
      </c>
      <c r="O152" s="3">
        <v>33483</v>
      </c>
      <c r="P152" s="3">
        <v>280</v>
      </c>
      <c r="Q152" s="3">
        <v>15</v>
      </c>
      <c r="R152" s="3">
        <v>36380</v>
      </c>
      <c r="S152" s="3">
        <v>519</v>
      </c>
      <c r="T152" s="3">
        <v>1226680</v>
      </c>
      <c r="U152" s="3">
        <v>56860</v>
      </c>
      <c r="V152" s="3">
        <v>-43862</v>
      </c>
      <c r="W152" s="3">
        <v>0</v>
      </c>
      <c r="X152" s="3">
        <v>4.9000000000000004</v>
      </c>
      <c r="AA152" t="s">
        <v>51</v>
      </c>
      <c r="AB152" s="3">
        <v>4064300</v>
      </c>
      <c r="AC152" s="3">
        <v>19370.490000000005</v>
      </c>
      <c r="AD152" s="3">
        <v>68446.152599999987</v>
      </c>
      <c r="AE152" s="3">
        <v>-49075.662599999981</v>
      </c>
      <c r="AF152" s="3">
        <v>0</v>
      </c>
      <c r="AG152" s="3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</row>
    <row r="153" spans="1:51" x14ac:dyDescent="0.2">
      <c r="A153">
        <v>152</v>
      </c>
      <c r="B153" s="4">
        <v>46174</v>
      </c>
      <c r="C153" s="3">
        <v>9710</v>
      </c>
      <c r="D153" s="3">
        <v>1514336.26</v>
      </c>
      <c r="E153" s="3">
        <v>351</v>
      </c>
      <c r="F153" s="3">
        <v>44087.45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>
        <v>0</v>
      </c>
      <c r="W153" s="3">
        <v>0</v>
      </c>
      <c r="X153" s="3">
        <v>0</v>
      </c>
      <c r="AA153" t="s">
        <v>51</v>
      </c>
      <c r="AB153" s="3">
        <v>1295600</v>
      </c>
      <c r="AC153" s="3">
        <v>175187.81</v>
      </c>
      <c r="AD153" s="3">
        <v>84962.934699999983</v>
      </c>
      <c r="AE153" s="3">
        <v>90224.875300000014</v>
      </c>
      <c r="AF153" s="3">
        <v>106.19321898258305</v>
      </c>
      <c r="AG153" s="3">
        <v>51.501799868381262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2</v>
      </c>
      <c r="AU153" s="3">
        <v>1695</v>
      </c>
      <c r="AV153" s="3">
        <v>0</v>
      </c>
      <c r="AW153" s="3">
        <v>1695</v>
      </c>
      <c r="AX153" s="3">
        <v>0</v>
      </c>
      <c r="AY153" s="3">
        <v>100</v>
      </c>
    </row>
    <row r="154" spans="1:51" x14ac:dyDescent="0.2">
      <c r="A154">
        <v>153</v>
      </c>
      <c r="B154" s="4">
        <v>46175</v>
      </c>
      <c r="C154" s="3">
        <v>3000</v>
      </c>
      <c r="D154" s="3">
        <v>9712.5</v>
      </c>
      <c r="E154" s="3">
        <v>5618.66</v>
      </c>
      <c r="F154" s="3">
        <v>286804.70999999996</v>
      </c>
      <c r="G154" s="3">
        <v>6</v>
      </c>
      <c r="H154" s="3">
        <v>22000</v>
      </c>
      <c r="I154" s="3">
        <v>212740</v>
      </c>
      <c r="J154" s="3">
        <v>51</v>
      </c>
      <c r="K154" s="3">
        <v>68370</v>
      </c>
      <c r="L154" s="3">
        <v>188433</v>
      </c>
      <c r="M154" s="3">
        <v>6</v>
      </c>
      <c r="N154" s="3">
        <v>7880</v>
      </c>
      <c r="O154" s="3">
        <v>13432</v>
      </c>
      <c r="P154" s="3">
        <v>0</v>
      </c>
      <c r="Q154" s="3">
        <v>9</v>
      </c>
      <c r="R154" s="3">
        <v>31064</v>
      </c>
      <c r="S154" s="3">
        <v>306</v>
      </c>
      <c r="T154" s="3">
        <v>854695</v>
      </c>
      <c r="U154" s="3">
        <v>38672</v>
      </c>
      <c r="V154" s="3">
        <v>7763</v>
      </c>
      <c r="W154" s="3">
        <v>0.82</v>
      </c>
      <c r="X154" s="3">
        <v>4.76</v>
      </c>
      <c r="AA154" t="s">
        <v>51</v>
      </c>
      <c r="AB154" s="3">
        <v>236490</v>
      </c>
      <c r="AC154" s="3">
        <v>41650.559999999998</v>
      </c>
      <c r="AD154" s="3">
        <v>19665.463244999999</v>
      </c>
      <c r="AE154" s="3">
        <v>21985.096754999999</v>
      </c>
      <c r="AF154" s="3">
        <v>111.79546843672637</v>
      </c>
      <c r="AG154" s="3">
        <v>52.784636641140004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3">
        <v>1501.9199999999996</v>
      </c>
      <c r="AO154" s="3">
        <v>36046.080000000002</v>
      </c>
      <c r="AP154" s="3">
        <v>28118.250000000004</v>
      </c>
      <c r="AQ154" s="3">
        <v>7927.8299999999981</v>
      </c>
      <c r="AR154" s="3">
        <v>28.194606705609338</v>
      </c>
      <c r="AS154" s="3">
        <v>21.993598194311275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</row>
    <row r="155" spans="1:51" x14ac:dyDescent="0.2">
      <c r="A155">
        <v>154</v>
      </c>
      <c r="B155" s="4">
        <v>46176</v>
      </c>
      <c r="C155" s="3">
        <v>14900</v>
      </c>
      <c r="D155" s="3">
        <v>8493</v>
      </c>
      <c r="E155" s="3">
        <v>15892.779999999999</v>
      </c>
      <c r="F155" s="3">
        <v>114577.64000000003</v>
      </c>
      <c r="G155" s="3">
        <v>5</v>
      </c>
      <c r="H155" s="3">
        <v>25620</v>
      </c>
      <c r="I155" s="3">
        <v>247744</v>
      </c>
      <c r="J155" s="3">
        <v>129</v>
      </c>
      <c r="K155" s="3">
        <v>126900</v>
      </c>
      <c r="L155" s="3">
        <v>354378</v>
      </c>
      <c r="M155" s="3">
        <v>10</v>
      </c>
      <c r="N155" s="3">
        <v>12760</v>
      </c>
      <c r="O155" s="3">
        <v>27111</v>
      </c>
      <c r="P155" s="3">
        <v>155</v>
      </c>
      <c r="Q155" s="3">
        <v>16</v>
      </c>
      <c r="R155" s="3">
        <v>61442</v>
      </c>
      <c r="S155" s="3">
        <v>383</v>
      </c>
      <c r="T155" s="3">
        <v>316130</v>
      </c>
      <c r="U155" s="3">
        <v>70939</v>
      </c>
      <c r="V155" s="3">
        <v>5575</v>
      </c>
      <c r="W155" s="3">
        <v>1.1100000000000001</v>
      </c>
      <c r="X155" s="3">
        <v>22.82</v>
      </c>
      <c r="AA155" t="s">
        <v>51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s="3">
        <v>6319.489999999998</v>
      </c>
      <c r="AO155" s="3">
        <v>146563.02999999997</v>
      </c>
      <c r="AP155" s="3">
        <v>114313.07999999997</v>
      </c>
      <c r="AQ155" s="3">
        <v>32249.949999999997</v>
      </c>
      <c r="AR155" s="3">
        <v>28.21195089835739</v>
      </c>
      <c r="AS155" s="3">
        <v>22.004150705672505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</row>
    <row r="156" spans="1:51" x14ac:dyDescent="0.2">
      <c r="A156">
        <v>155</v>
      </c>
      <c r="B156" s="4">
        <v>46177</v>
      </c>
      <c r="C156" s="3"/>
      <c r="D156" s="3"/>
      <c r="E156" s="3">
        <v>2490.38</v>
      </c>
      <c r="F156" s="3">
        <v>248642.43999999997</v>
      </c>
      <c r="G156" s="3">
        <v>9</v>
      </c>
      <c r="H156" s="3">
        <v>26420</v>
      </c>
      <c r="I156" s="3">
        <v>255481</v>
      </c>
      <c r="J156" s="3">
        <v>82</v>
      </c>
      <c r="K156" s="3">
        <v>113085</v>
      </c>
      <c r="L156" s="3">
        <v>291988</v>
      </c>
      <c r="M156" s="3">
        <v>9</v>
      </c>
      <c r="N156" s="3">
        <v>12875</v>
      </c>
      <c r="O156" s="3">
        <v>48319</v>
      </c>
      <c r="P156" s="3">
        <v>490</v>
      </c>
      <c r="Q156" s="3">
        <v>7</v>
      </c>
      <c r="R156" s="3">
        <v>23212</v>
      </c>
      <c r="S156" s="3">
        <v>437</v>
      </c>
      <c r="T156" s="3">
        <v>605080</v>
      </c>
      <c r="U156" s="3">
        <v>47439</v>
      </c>
      <c r="V156" s="3">
        <v>-15056</v>
      </c>
      <c r="W156" s="3">
        <v>0</v>
      </c>
      <c r="X156" s="3">
        <v>0</v>
      </c>
      <c r="AA156" t="s">
        <v>51</v>
      </c>
      <c r="AB156" s="3">
        <v>1277780</v>
      </c>
      <c r="AC156" s="3">
        <v>117527.8</v>
      </c>
      <c r="AD156" s="3">
        <v>102548.40543999997</v>
      </c>
      <c r="AE156" s="3">
        <v>14979.39456000003</v>
      </c>
      <c r="AF156" s="3">
        <v>14.607145275178675</v>
      </c>
      <c r="AG156" s="3">
        <v>12.745405393447362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s="3">
        <v>16031.570000000003</v>
      </c>
      <c r="AO156" s="3">
        <v>366036.37999999989</v>
      </c>
      <c r="AP156" s="3">
        <v>305753.41499999992</v>
      </c>
      <c r="AQ156" s="3">
        <v>60282.964999999967</v>
      </c>
      <c r="AR156" s="3">
        <v>19.716203333329894</v>
      </c>
      <c r="AS156" s="3">
        <v>16.469118452105768</v>
      </c>
      <c r="AT156" s="3">
        <v>643.75</v>
      </c>
      <c r="AU156" s="3">
        <v>17703.12</v>
      </c>
      <c r="AV156" s="3">
        <v>0</v>
      </c>
      <c r="AW156" s="3">
        <v>17703.12</v>
      </c>
      <c r="AX156" s="3">
        <v>0</v>
      </c>
      <c r="AY156" s="3">
        <v>100</v>
      </c>
    </row>
    <row r="157" spans="1:51" x14ac:dyDescent="0.2">
      <c r="A157">
        <v>156</v>
      </c>
      <c r="B157" s="4">
        <v>46178</v>
      </c>
      <c r="C157" s="3">
        <v>6897.72</v>
      </c>
      <c r="D157" s="3">
        <v>542471</v>
      </c>
      <c r="E157" s="3">
        <v>5943.78</v>
      </c>
      <c r="F157" s="3">
        <v>459975.93000000005</v>
      </c>
      <c r="G157" s="3">
        <v>7</v>
      </c>
      <c r="H157" s="3">
        <v>25500</v>
      </c>
      <c r="I157" s="3">
        <v>246583</v>
      </c>
      <c r="J157" s="3">
        <v>93</v>
      </c>
      <c r="K157" s="3">
        <v>122880</v>
      </c>
      <c r="L157" s="3">
        <v>283844</v>
      </c>
      <c r="M157" s="3">
        <v>21</v>
      </c>
      <c r="N157" s="3">
        <v>24430</v>
      </c>
      <c r="O157" s="3">
        <v>80000</v>
      </c>
      <c r="P157" s="3">
        <v>750</v>
      </c>
      <c r="Q157" s="3">
        <v>20</v>
      </c>
      <c r="R157" s="3">
        <v>31546</v>
      </c>
      <c r="S157" s="3">
        <v>316</v>
      </c>
      <c r="T157" s="3">
        <v>1555845</v>
      </c>
      <c r="U157" s="3">
        <v>71322</v>
      </c>
      <c r="V157" s="3">
        <v>3284</v>
      </c>
      <c r="W157" s="3">
        <v>0.21</v>
      </c>
      <c r="X157" s="3">
        <v>0</v>
      </c>
      <c r="AA157" t="s">
        <v>51</v>
      </c>
      <c r="AB157" s="3">
        <v>633580</v>
      </c>
      <c r="AC157" s="3">
        <v>70840.27</v>
      </c>
      <c r="AD157" s="3">
        <v>41417.761180000009</v>
      </c>
      <c r="AE157" s="3">
        <v>29422.508819999995</v>
      </c>
      <c r="AF157" s="3">
        <v>71.038385421488371</v>
      </c>
      <c r="AG157" s="3">
        <v>41.533592150340468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s="3">
        <v>18293.46000000001</v>
      </c>
      <c r="AO157" s="3">
        <v>439042.79999999981</v>
      </c>
      <c r="AP157" s="3">
        <v>340460.24999999988</v>
      </c>
      <c r="AQ157" s="3">
        <v>98582.54999999993</v>
      </c>
      <c r="AR157" s="3">
        <v>28.955671036486631</v>
      </c>
      <c r="AS157" s="3">
        <v>22.453972596749104</v>
      </c>
      <c r="AT157" s="3">
        <v>348.8</v>
      </c>
      <c r="AU157" s="3">
        <v>16655.5</v>
      </c>
      <c r="AV157" s="3">
        <v>0</v>
      </c>
      <c r="AW157" s="3">
        <v>16655.5</v>
      </c>
      <c r="AX157" s="3">
        <v>0</v>
      </c>
      <c r="AY157" s="3">
        <v>100</v>
      </c>
    </row>
    <row r="158" spans="1:51" x14ac:dyDescent="0.2">
      <c r="A158">
        <v>157</v>
      </c>
      <c r="B158" s="4">
        <v>46179</v>
      </c>
      <c r="C158" s="3">
        <v>53825</v>
      </c>
      <c r="D158" s="3">
        <v>146057.84</v>
      </c>
      <c r="E158" s="3">
        <v>57756.36</v>
      </c>
      <c r="F158" s="3">
        <v>346539.28</v>
      </c>
      <c r="G158" s="3">
        <v>8</v>
      </c>
      <c r="H158" s="3">
        <v>30460</v>
      </c>
      <c r="I158" s="3">
        <v>314347</v>
      </c>
      <c r="J158" s="3">
        <v>28</v>
      </c>
      <c r="K158" s="3">
        <v>55825</v>
      </c>
      <c r="L158" s="3">
        <v>149851</v>
      </c>
      <c r="M158" s="3">
        <v>19</v>
      </c>
      <c r="N158" s="3">
        <v>22770</v>
      </c>
      <c r="O158" s="3">
        <v>52148</v>
      </c>
      <c r="P158" s="3">
        <v>575</v>
      </c>
      <c r="Q158" s="3">
        <v>10</v>
      </c>
      <c r="R158" s="3">
        <v>39294</v>
      </c>
      <c r="S158" s="3">
        <v>418</v>
      </c>
      <c r="T158" s="3">
        <v>2130740</v>
      </c>
      <c r="U158" s="3">
        <v>71772</v>
      </c>
      <c r="V158" s="3">
        <v>-1646</v>
      </c>
      <c r="W158" s="3">
        <v>0</v>
      </c>
      <c r="X158" s="3">
        <v>8.09</v>
      </c>
      <c r="AA158" t="s">
        <v>51</v>
      </c>
      <c r="AB158" s="3">
        <v>240000</v>
      </c>
      <c r="AC158" s="3">
        <v>33120</v>
      </c>
      <c r="AD158" s="3">
        <v>13893.660000000002</v>
      </c>
      <c r="AE158" s="3">
        <v>19226.339999999997</v>
      </c>
      <c r="AF158" s="3">
        <v>138.38211097723706</v>
      </c>
      <c r="AG158" s="3">
        <v>58.050543478260863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s="3">
        <v>9308.16</v>
      </c>
      <c r="AO158" s="3">
        <v>247834.59</v>
      </c>
      <c r="AP158" s="3">
        <v>206772.70499999999</v>
      </c>
      <c r="AQ158" s="3">
        <v>41061.885000000009</v>
      </c>
      <c r="AR158" s="3">
        <v>19.858464878137571</v>
      </c>
      <c r="AS158" s="3">
        <v>16.568262323673224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</row>
    <row r="159" spans="1:51" x14ac:dyDescent="0.2">
      <c r="A159">
        <v>158</v>
      </c>
      <c r="B159" s="4">
        <v>46180</v>
      </c>
      <c r="C159" s="3">
        <v>17455</v>
      </c>
      <c r="D159" s="3">
        <v>474376.4</v>
      </c>
      <c r="E159" s="3">
        <v>16394.579999999998</v>
      </c>
      <c r="F159" s="3">
        <v>330349.19</v>
      </c>
      <c r="G159" s="3">
        <v>7</v>
      </c>
      <c r="H159" s="3">
        <v>27490</v>
      </c>
      <c r="I159" s="3">
        <v>270014</v>
      </c>
      <c r="J159" s="3">
        <v>92</v>
      </c>
      <c r="K159" s="3">
        <v>104165</v>
      </c>
      <c r="L159" s="3">
        <v>300310</v>
      </c>
      <c r="M159" s="3">
        <v>10</v>
      </c>
      <c r="N159" s="3">
        <v>15850</v>
      </c>
      <c r="O159" s="3">
        <v>34597</v>
      </c>
      <c r="P159" s="3">
        <v>100</v>
      </c>
      <c r="Q159" s="3">
        <v>10</v>
      </c>
      <c r="R159" s="3">
        <v>15185</v>
      </c>
      <c r="S159" s="3">
        <v>314</v>
      </c>
      <c r="T159" s="3">
        <v>195170</v>
      </c>
      <c r="U159" s="3">
        <v>28132</v>
      </c>
      <c r="V159" s="3">
        <v>0</v>
      </c>
      <c r="W159" s="3">
        <v>0</v>
      </c>
      <c r="X159" s="3">
        <v>9.2200000000000006</v>
      </c>
      <c r="AA159" t="s">
        <v>51</v>
      </c>
      <c r="AB159" s="3">
        <v>321000</v>
      </c>
      <c r="AC159" s="3">
        <v>42644</v>
      </c>
      <c r="AD159" s="3">
        <v>15005.705000000002</v>
      </c>
      <c r="AE159" s="3">
        <v>27638.294999999998</v>
      </c>
      <c r="AF159" s="3">
        <v>184.18524821059719</v>
      </c>
      <c r="AG159" s="3">
        <v>64.811685113966789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</row>
    <row r="160" spans="1:51" x14ac:dyDescent="0.2">
      <c r="A160">
        <v>159</v>
      </c>
      <c r="B160" s="4">
        <v>46181</v>
      </c>
      <c r="C160" s="3"/>
      <c r="D160" s="3"/>
      <c r="E160" s="3">
        <v>0</v>
      </c>
      <c r="F160" s="3">
        <v>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>
        <v>15</v>
      </c>
      <c r="T160" s="3">
        <v>30750</v>
      </c>
      <c r="U160" s="3">
        <v>582</v>
      </c>
      <c r="V160" s="3">
        <v>-18140</v>
      </c>
      <c r="W160" s="3">
        <v>0</v>
      </c>
      <c r="X160" s="3">
        <v>0</v>
      </c>
      <c r="AA160" t="s">
        <v>51</v>
      </c>
      <c r="AB160" s="3">
        <v>163700</v>
      </c>
      <c r="AC160" s="3">
        <v>25422.799999999999</v>
      </c>
      <c r="AD160" s="3">
        <v>18701.839899999999</v>
      </c>
      <c r="AE160" s="3">
        <v>6720.9601000000002</v>
      </c>
      <c r="AF160" s="3">
        <v>35.937427204689101</v>
      </c>
      <c r="AG160" s="3">
        <v>26.436742215648945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</row>
    <row r="161" spans="1:51" x14ac:dyDescent="0.2">
      <c r="A161">
        <v>160</v>
      </c>
      <c r="B161" s="4">
        <v>46182</v>
      </c>
      <c r="C161" s="3">
        <v>18545</v>
      </c>
      <c r="D161" s="3">
        <v>871839</v>
      </c>
      <c r="E161" s="3">
        <v>10181.460000000001</v>
      </c>
      <c r="F161" s="3">
        <v>279384.09000000003</v>
      </c>
      <c r="G161" s="3">
        <v>5</v>
      </c>
      <c r="H161" s="3">
        <v>20250</v>
      </c>
      <c r="I161" s="3">
        <v>258592</v>
      </c>
      <c r="J161" s="3">
        <v>86</v>
      </c>
      <c r="K161" s="3">
        <v>122080</v>
      </c>
      <c r="L161" s="3">
        <v>306669</v>
      </c>
      <c r="M161" s="3">
        <v>9</v>
      </c>
      <c r="N161" s="3">
        <v>10600</v>
      </c>
      <c r="O161" s="3">
        <v>25065</v>
      </c>
      <c r="P161" s="3">
        <v>190</v>
      </c>
      <c r="Q161" s="3">
        <v>29</v>
      </c>
      <c r="R161" s="3">
        <v>71733</v>
      </c>
      <c r="S161" s="3">
        <v>479</v>
      </c>
      <c r="T161" s="3">
        <v>1056120</v>
      </c>
      <c r="U161" s="3">
        <v>81945</v>
      </c>
      <c r="V161" s="3">
        <v>18880</v>
      </c>
      <c r="W161" s="3">
        <v>1.7</v>
      </c>
      <c r="X161" s="3">
        <v>0.85</v>
      </c>
      <c r="AA161" t="s">
        <v>51</v>
      </c>
      <c r="AB161" s="3">
        <v>977035</v>
      </c>
      <c r="AC161" s="3">
        <v>209916.75</v>
      </c>
      <c r="AD161" s="3">
        <v>117859.56572</v>
      </c>
      <c r="AE161" s="3">
        <v>92057.184280000001</v>
      </c>
      <c r="AF161" s="3">
        <v>78.107520350703695</v>
      </c>
      <c r="AG161" s="3">
        <v>43.85413945290216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s="3">
        <v>6111.26</v>
      </c>
      <c r="AO161" s="3">
        <v>156473.86000000004</v>
      </c>
      <c r="AP161" s="3">
        <v>115413.13000000003</v>
      </c>
      <c r="AQ161" s="3">
        <v>41060.73000000001</v>
      </c>
      <c r="AR161" s="3">
        <v>35.57717393159686</v>
      </c>
      <c r="AS161" s="3">
        <v>26.241271225749784</v>
      </c>
      <c r="AT161" s="3">
        <v>7</v>
      </c>
      <c r="AU161" s="3">
        <v>5250</v>
      </c>
      <c r="AV161" s="3">
        <v>0</v>
      </c>
      <c r="AW161" s="3">
        <v>5250</v>
      </c>
      <c r="AX161" s="3">
        <v>0</v>
      </c>
      <c r="AY161" s="3">
        <v>100</v>
      </c>
    </row>
    <row r="162" spans="1:51" x14ac:dyDescent="0.2">
      <c r="A162">
        <v>161</v>
      </c>
      <c r="B162" s="4">
        <v>46183</v>
      </c>
      <c r="C162" s="3">
        <v>2940</v>
      </c>
      <c r="D162" s="3">
        <v>0</v>
      </c>
      <c r="E162" s="3">
        <v>4430</v>
      </c>
      <c r="F162" s="3">
        <v>244961.03</v>
      </c>
      <c r="G162" s="3">
        <v>6</v>
      </c>
      <c r="H162" s="3">
        <v>21100</v>
      </c>
      <c r="I162" s="3">
        <v>223264</v>
      </c>
      <c r="J162" s="3">
        <v>34</v>
      </c>
      <c r="K162" s="3">
        <v>44730</v>
      </c>
      <c r="L162" s="3">
        <v>107792</v>
      </c>
      <c r="M162" s="3">
        <v>10</v>
      </c>
      <c r="N162" s="3">
        <v>8820</v>
      </c>
      <c r="O162" s="3">
        <v>20155</v>
      </c>
      <c r="P162" s="3">
        <v>190</v>
      </c>
      <c r="Q162" s="3">
        <v>13</v>
      </c>
      <c r="R162" s="3">
        <v>33169</v>
      </c>
      <c r="S162" s="3">
        <v>738</v>
      </c>
      <c r="T162" s="3">
        <v>1129870</v>
      </c>
      <c r="U162" s="3">
        <v>74852</v>
      </c>
      <c r="V162" s="3">
        <v>0</v>
      </c>
      <c r="W162" s="3">
        <v>0</v>
      </c>
      <c r="X162" s="3">
        <v>3.81</v>
      </c>
      <c r="AA162" t="s">
        <v>51</v>
      </c>
      <c r="AB162" s="3">
        <v>2040660</v>
      </c>
      <c r="AC162" s="3">
        <v>137975.44999999998</v>
      </c>
      <c r="AD162" s="3">
        <v>90711.251669999998</v>
      </c>
      <c r="AE162" s="3">
        <v>47264.198329999985</v>
      </c>
      <c r="AF162" s="3">
        <v>52.104008554466006</v>
      </c>
      <c r="AG162" s="3">
        <v>34.255513085842438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s="3">
        <v>9992.4</v>
      </c>
      <c r="AO162" s="3">
        <v>241797.48</v>
      </c>
      <c r="AP162" s="3">
        <v>192170.19999999981</v>
      </c>
      <c r="AQ162" s="3">
        <v>49627.280000000203</v>
      </c>
      <c r="AR162" s="3">
        <v>25.824649191185863</v>
      </c>
      <c r="AS162" s="3">
        <v>20.524316465167544</v>
      </c>
      <c r="AT162" s="3">
        <v>1573</v>
      </c>
      <c r="AU162" s="3">
        <v>42968.75</v>
      </c>
      <c r="AV162" s="3">
        <v>0</v>
      </c>
      <c r="AW162" s="3">
        <v>42968.75</v>
      </c>
      <c r="AX162" s="3">
        <v>0</v>
      </c>
      <c r="AY162" s="3">
        <v>100</v>
      </c>
    </row>
    <row r="163" spans="1:51" x14ac:dyDescent="0.2">
      <c r="A163">
        <v>162</v>
      </c>
      <c r="B163" s="4">
        <v>46184</v>
      </c>
      <c r="C163" s="3">
        <v>19420</v>
      </c>
      <c r="D163" s="3">
        <v>37978.68</v>
      </c>
      <c r="E163" s="3">
        <v>22104.080000000002</v>
      </c>
      <c r="F163" s="3">
        <v>393632.94000000006</v>
      </c>
      <c r="G163" s="3">
        <v>9</v>
      </c>
      <c r="H163" s="3">
        <v>30150</v>
      </c>
      <c r="I163" s="3">
        <v>317036</v>
      </c>
      <c r="J163" s="3">
        <v>54</v>
      </c>
      <c r="K163" s="3">
        <v>77785</v>
      </c>
      <c r="L163" s="3">
        <v>200206</v>
      </c>
      <c r="M163" s="3">
        <v>5</v>
      </c>
      <c r="N163" s="3">
        <v>4990</v>
      </c>
      <c r="O163" s="3">
        <v>16495</v>
      </c>
      <c r="P163" s="3">
        <v>40</v>
      </c>
      <c r="Q163" s="3">
        <v>17</v>
      </c>
      <c r="R163" s="3">
        <v>50043</v>
      </c>
      <c r="S163" s="3">
        <v>440</v>
      </c>
      <c r="T163" s="3">
        <v>717255</v>
      </c>
      <c r="U163" s="3">
        <v>47056</v>
      </c>
      <c r="V163" s="3">
        <v>0</v>
      </c>
      <c r="W163" s="3">
        <v>0</v>
      </c>
      <c r="X163" s="3">
        <v>1.1399999999999999</v>
      </c>
      <c r="AA163" t="s">
        <v>51</v>
      </c>
      <c r="AB163" s="3">
        <v>1178935</v>
      </c>
      <c r="AC163" s="3">
        <v>82609.680000000008</v>
      </c>
      <c r="AD163" s="3">
        <v>44718.644655000011</v>
      </c>
      <c r="AE163" s="3">
        <v>37891.035344999997</v>
      </c>
      <c r="AF163" s="3">
        <v>84.732074590644785</v>
      </c>
      <c r="AG163" s="3">
        <v>45.867548869575572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s="3">
        <v>13871.400000000005</v>
      </c>
      <c r="AO163" s="3">
        <v>332716.15999999997</v>
      </c>
      <c r="AP163" s="3">
        <v>268393.685</v>
      </c>
      <c r="AQ163" s="3">
        <v>64322.474999999977</v>
      </c>
      <c r="AR163" s="3">
        <v>23.965718492966769</v>
      </c>
      <c r="AS163" s="3">
        <v>19.332537079052603</v>
      </c>
      <c r="AT163" s="3">
        <v>1014.5</v>
      </c>
      <c r="AU163" s="3">
        <v>28454.5</v>
      </c>
      <c r="AV163" s="3">
        <v>0</v>
      </c>
      <c r="AW163" s="3">
        <v>28454.5</v>
      </c>
      <c r="AX163" s="3">
        <v>0</v>
      </c>
      <c r="AY163" s="3">
        <v>100</v>
      </c>
    </row>
    <row r="164" spans="1:51" x14ac:dyDescent="0.2">
      <c r="A164">
        <v>163</v>
      </c>
      <c r="B164" s="4">
        <v>46185</v>
      </c>
      <c r="C164" s="3">
        <v>13060</v>
      </c>
      <c r="D164" s="3">
        <v>24231.9</v>
      </c>
      <c r="E164" s="3">
        <v>13858</v>
      </c>
      <c r="F164" s="3">
        <v>96045.4</v>
      </c>
      <c r="G164" s="3">
        <v>7</v>
      </c>
      <c r="H164" s="3">
        <v>23250</v>
      </c>
      <c r="I164" s="3">
        <v>241668</v>
      </c>
      <c r="J164" s="3">
        <v>28</v>
      </c>
      <c r="K164" s="3">
        <v>41990</v>
      </c>
      <c r="L164" s="3">
        <v>112730</v>
      </c>
      <c r="M164" s="3">
        <v>13</v>
      </c>
      <c r="N164" s="3">
        <v>16740</v>
      </c>
      <c r="O164" s="3">
        <v>37241</v>
      </c>
      <c r="P164" s="3">
        <v>215</v>
      </c>
      <c r="Q164" s="3">
        <v>8</v>
      </c>
      <c r="R164" s="3">
        <v>22495</v>
      </c>
      <c r="S164" s="3">
        <v>322</v>
      </c>
      <c r="T164" s="3">
        <v>486700</v>
      </c>
      <c r="U164" s="3">
        <v>42999</v>
      </c>
      <c r="V164" s="3">
        <v>-200</v>
      </c>
      <c r="W164" s="3">
        <v>0</v>
      </c>
      <c r="X164" s="3">
        <v>0</v>
      </c>
      <c r="AA164" t="s">
        <v>51</v>
      </c>
      <c r="AB164" s="3">
        <v>724740</v>
      </c>
      <c r="AC164" s="3">
        <v>120368.4</v>
      </c>
      <c r="AD164" s="3">
        <v>70179.201260000002</v>
      </c>
      <c r="AE164" s="3">
        <v>50189.198739999993</v>
      </c>
      <c r="AF164" s="3">
        <v>71.515773674965288</v>
      </c>
      <c r="AG164" s="3">
        <v>41.696324566912907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</row>
    <row r="165" spans="1:51" x14ac:dyDescent="0.2">
      <c r="A165">
        <v>164</v>
      </c>
      <c r="B165" s="4">
        <v>46186</v>
      </c>
      <c r="C165" s="3">
        <v>74110</v>
      </c>
      <c r="D165" s="3">
        <v>142158.32999999999</v>
      </c>
      <c r="E165" s="3">
        <v>75924</v>
      </c>
      <c r="F165" s="3">
        <v>356184.69999999995</v>
      </c>
      <c r="G165" s="3">
        <v>8</v>
      </c>
      <c r="H165" s="3">
        <v>27750</v>
      </c>
      <c r="I165" s="3">
        <v>286380</v>
      </c>
      <c r="J165" s="3">
        <v>61</v>
      </c>
      <c r="K165" s="3">
        <v>106890</v>
      </c>
      <c r="L165" s="3">
        <v>294477</v>
      </c>
      <c r="M165" s="3">
        <v>11</v>
      </c>
      <c r="N165" s="3">
        <v>20205</v>
      </c>
      <c r="O165" s="3">
        <v>84675</v>
      </c>
      <c r="P165" s="3">
        <v>0</v>
      </c>
      <c r="Q165" s="3">
        <v>12</v>
      </c>
      <c r="R165" s="3">
        <v>37957</v>
      </c>
      <c r="S165" s="3">
        <v>240</v>
      </c>
      <c r="T165" s="3">
        <v>993250</v>
      </c>
      <c r="U165" s="3">
        <v>106280</v>
      </c>
      <c r="V165" s="3">
        <v>0</v>
      </c>
      <c r="W165" s="3">
        <v>0</v>
      </c>
      <c r="X165" s="3">
        <v>4.21</v>
      </c>
      <c r="AA165" t="s">
        <v>51</v>
      </c>
      <c r="AB165" s="3">
        <v>1177160</v>
      </c>
      <c r="AC165" s="3">
        <v>171773.71</v>
      </c>
      <c r="AD165" s="3">
        <v>85575.537999999986</v>
      </c>
      <c r="AE165" s="3">
        <v>86198.172000000006</v>
      </c>
      <c r="AF165" s="3">
        <v>100.72758409067791</v>
      </c>
      <c r="AG165" s="3">
        <v>50.181236697978996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365.8</v>
      </c>
      <c r="AU165" s="3">
        <v>8413.4</v>
      </c>
      <c r="AV165" s="3">
        <v>0</v>
      </c>
      <c r="AW165" s="3">
        <v>8413.4</v>
      </c>
      <c r="AX165" s="3">
        <v>0</v>
      </c>
      <c r="AY165" s="3">
        <v>100</v>
      </c>
    </row>
    <row r="166" spans="1:51" x14ac:dyDescent="0.2">
      <c r="A166">
        <v>165</v>
      </c>
      <c r="B166" s="4">
        <v>46187</v>
      </c>
      <c r="C166" s="3"/>
      <c r="D166" s="3"/>
      <c r="E166" s="3">
        <v>2998.6</v>
      </c>
      <c r="F166" s="3">
        <v>322554</v>
      </c>
      <c r="G166" s="3">
        <v>7</v>
      </c>
      <c r="H166" s="3">
        <v>26390</v>
      </c>
      <c r="I166" s="3">
        <v>274877</v>
      </c>
      <c r="J166" s="3">
        <v>150</v>
      </c>
      <c r="K166" s="3">
        <v>211900</v>
      </c>
      <c r="L166" s="3">
        <v>568824</v>
      </c>
      <c r="M166" s="3">
        <v>8</v>
      </c>
      <c r="N166" s="3">
        <v>6680</v>
      </c>
      <c r="O166" s="3">
        <v>26231</v>
      </c>
      <c r="P166" s="3">
        <v>320</v>
      </c>
      <c r="Q166" s="3">
        <v>12</v>
      </c>
      <c r="R166" s="3">
        <v>47052</v>
      </c>
      <c r="S166" s="3">
        <v>380</v>
      </c>
      <c r="T166" s="3">
        <v>903630</v>
      </c>
      <c r="U166" s="3">
        <v>87173</v>
      </c>
      <c r="V166" s="3">
        <v>0</v>
      </c>
      <c r="W166" s="3">
        <v>0</v>
      </c>
      <c r="X166" s="3">
        <v>6.59</v>
      </c>
      <c r="AA166" t="s">
        <v>51</v>
      </c>
      <c r="AB166" s="3">
        <v>6300</v>
      </c>
      <c r="AC166" s="3">
        <v>8820</v>
      </c>
      <c r="AD166" s="3">
        <v>42518.297099999996</v>
      </c>
      <c r="AE166" s="3">
        <v>-33698.297099999996</v>
      </c>
      <c r="AF166" s="3">
        <v>0</v>
      </c>
      <c r="AG166" s="3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s="3">
        <v>27474.49000000002</v>
      </c>
      <c r="AO166" s="3">
        <v>641636.93000000017</v>
      </c>
      <c r="AP166" s="3">
        <v>549527.18999999971</v>
      </c>
      <c r="AQ166" s="3">
        <v>92109.740000000456</v>
      </c>
      <c r="AR166" s="3">
        <v>16.761634669978843</v>
      </c>
      <c r="AS166" s="3">
        <v>14.355429946964</v>
      </c>
      <c r="AT166" s="3">
        <v>1786.78</v>
      </c>
      <c r="AU166" s="3">
        <v>49136.45</v>
      </c>
      <c r="AV166" s="3">
        <v>0</v>
      </c>
      <c r="AW166" s="3">
        <v>49136.45</v>
      </c>
      <c r="AX166" s="3">
        <v>0</v>
      </c>
      <c r="AY166" s="3">
        <v>100</v>
      </c>
    </row>
    <row r="167" spans="1:51" x14ac:dyDescent="0.2">
      <c r="A167">
        <v>166</v>
      </c>
      <c r="B167" s="4">
        <v>46188</v>
      </c>
      <c r="C167" s="3"/>
      <c r="D167" s="3"/>
      <c r="E167" s="3">
        <v>0</v>
      </c>
      <c r="F167" s="3">
        <v>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6</v>
      </c>
      <c r="R167" s="3">
        <v>7502</v>
      </c>
      <c r="S167" s="3">
        <v>8</v>
      </c>
      <c r="T167" s="3">
        <v>3570</v>
      </c>
      <c r="U167" s="3">
        <v>1152</v>
      </c>
      <c r="V167" s="3">
        <v>0</v>
      </c>
      <c r="W167" s="3">
        <v>0</v>
      </c>
      <c r="X167" s="3">
        <v>0</v>
      </c>
      <c r="AA167" t="s">
        <v>51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</row>
    <row r="168" spans="1:51" x14ac:dyDescent="0.2">
      <c r="A168">
        <v>167</v>
      </c>
      <c r="B168" s="4">
        <v>46189</v>
      </c>
      <c r="C168" s="3"/>
      <c r="D168" s="3"/>
      <c r="E168" s="3">
        <v>2536</v>
      </c>
      <c r="F168" s="3">
        <v>294568.45</v>
      </c>
      <c r="G168" s="3">
        <v>8</v>
      </c>
      <c r="H168" s="3">
        <v>28750</v>
      </c>
      <c r="I168" s="3">
        <v>307050</v>
      </c>
      <c r="J168" s="3">
        <v>35</v>
      </c>
      <c r="K168" s="3">
        <v>52930</v>
      </c>
      <c r="L168" s="3">
        <v>154778</v>
      </c>
      <c r="M168" s="3">
        <v>7</v>
      </c>
      <c r="N168" s="3">
        <v>11120</v>
      </c>
      <c r="O168" s="3">
        <v>39588</v>
      </c>
      <c r="P168" s="3">
        <v>170</v>
      </c>
      <c r="Q168" s="3">
        <v>21</v>
      </c>
      <c r="R168" s="3">
        <v>54021</v>
      </c>
      <c r="S168" s="3">
        <v>343</v>
      </c>
      <c r="T168" s="3">
        <v>1699555</v>
      </c>
      <c r="U168" s="3">
        <v>81799</v>
      </c>
      <c r="V168" s="3">
        <v>-2373</v>
      </c>
      <c r="W168" s="3">
        <v>0</v>
      </c>
      <c r="X168" s="3">
        <v>2.63</v>
      </c>
      <c r="AA168" t="s">
        <v>51</v>
      </c>
      <c r="AB168" s="3">
        <v>346000</v>
      </c>
      <c r="AC168" s="3">
        <v>40415.199999999997</v>
      </c>
      <c r="AD168" s="3">
        <v>22175.619140000003</v>
      </c>
      <c r="AE168" s="3">
        <v>18239.580859999995</v>
      </c>
      <c r="AF168" s="3">
        <v>82.250604796416937</v>
      </c>
      <c r="AG168" s="3">
        <v>45.13049758506699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s="3">
        <v>2435.9799999999996</v>
      </c>
      <c r="AO168" s="3">
        <v>58463.520000000004</v>
      </c>
      <c r="AP168" s="3">
        <v>47194.14</v>
      </c>
      <c r="AQ168" s="3">
        <v>11269.380000000005</v>
      </c>
      <c r="AR168" s="3">
        <v>23.878769694712108</v>
      </c>
      <c r="AS168" s="3">
        <v>19.275917700473737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</row>
    <row r="169" spans="1:51" x14ac:dyDescent="0.2">
      <c r="A169">
        <v>168</v>
      </c>
      <c r="B169" s="4">
        <v>46190</v>
      </c>
      <c r="C169" s="3">
        <v>15223.02</v>
      </c>
      <c r="D169" s="3">
        <v>1394124.14</v>
      </c>
      <c r="E169" s="3">
        <v>2416</v>
      </c>
      <c r="F169" s="3">
        <v>272937.75</v>
      </c>
      <c r="G169" s="3">
        <v>7</v>
      </c>
      <c r="H169" s="3">
        <v>29350</v>
      </c>
      <c r="I169" s="3">
        <v>313458</v>
      </c>
      <c r="J169" s="3">
        <v>66</v>
      </c>
      <c r="K169" s="3">
        <v>102320</v>
      </c>
      <c r="L169" s="3">
        <v>295485</v>
      </c>
      <c r="M169" s="3">
        <v>8</v>
      </c>
      <c r="N169" s="3">
        <v>10980</v>
      </c>
      <c r="O169" s="3">
        <v>50760</v>
      </c>
      <c r="P169" s="3">
        <v>80</v>
      </c>
      <c r="Q169" s="3">
        <v>3</v>
      </c>
      <c r="R169" s="3">
        <v>5767</v>
      </c>
      <c r="S169" s="3">
        <v>49</v>
      </c>
      <c r="T169" s="3">
        <v>214550</v>
      </c>
      <c r="U169" s="3">
        <v>28107</v>
      </c>
      <c r="V169" s="3">
        <v>-1530</v>
      </c>
      <c r="W169" s="3">
        <v>0</v>
      </c>
      <c r="X169" s="3">
        <v>16.43</v>
      </c>
      <c r="AA169" t="s">
        <v>51</v>
      </c>
      <c r="AB169" s="3">
        <v>1172403</v>
      </c>
      <c r="AC169" s="3">
        <v>96767.42</v>
      </c>
      <c r="AD169" s="3">
        <v>56096.17162400001</v>
      </c>
      <c r="AE169" s="3">
        <v>40671.248375999989</v>
      </c>
      <c r="AF169" s="3">
        <v>72.502716671309045</v>
      </c>
      <c r="AG169" s="3">
        <v>42.029898467893418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s="3">
        <v>6313.18</v>
      </c>
      <c r="AO169" s="3">
        <v>148991.63999999996</v>
      </c>
      <c r="AP169" s="3">
        <v>127109.10999999999</v>
      </c>
      <c r="AQ169" s="3">
        <v>21882.52999999997</v>
      </c>
      <c r="AR169" s="3">
        <v>17.215548122396555</v>
      </c>
      <c r="AS169" s="3">
        <v>14.687085798907894</v>
      </c>
      <c r="AT169" s="3">
        <v>562.70000000000005</v>
      </c>
      <c r="AU169" s="3">
        <v>148705.75</v>
      </c>
      <c r="AV169" s="3">
        <v>0</v>
      </c>
      <c r="AW169" s="3">
        <v>148705.75</v>
      </c>
      <c r="AX169" s="3">
        <v>0</v>
      </c>
      <c r="AY169" s="3">
        <v>100</v>
      </c>
    </row>
    <row r="170" spans="1:51" x14ac:dyDescent="0.2">
      <c r="A170">
        <v>169</v>
      </c>
      <c r="B170" s="4">
        <v>46191</v>
      </c>
      <c r="C170" s="3">
        <v>4446.8999999999996</v>
      </c>
      <c r="D170" s="3">
        <v>1206858</v>
      </c>
      <c r="E170" s="3">
        <v>1989.2</v>
      </c>
      <c r="F170" s="3">
        <v>367365.29200000002</v>
      </c>
      <c r="G170" s="3">
        <v>6</v>
      </c>
      <c r="H170" s="3">
        <v>27300</v>
      </c>
      <c r="I170" s="3">
        <v>291564</v>
      </c>
      <c r="J170" s="3">
        <v>45</v>
      </c>
      <c r="K170" s="3">
        <v>61210</v>
      </c>
      <c r="L170" s="3">
        <v>194162</v>
      </c>
      <c r="M170" s="3">
        <v>11</v>
      </c>
      <c r="N170" s="3">
        <v>15020</v>
      </c>
      <c r="O170" s="3">
        <v>51659</v>
      </c>
      <c r="P170" s="3">
        <v>290</v>
      </c>
      <c r="Q170" s="3">
        <v>14</v>
      </c>
      <c r="R170" s="3">
        <v>45353</v>
      </c>
      <c r="S170" s="3">
        <v>302</v>
      </c>
      <c r="T170" s="3">
        <v>452878</v>
      </c>
      <c r="U170" s="3">
        <v>92238</v>
      </c>
      <c r="V170" s="3">
        <v>-22092</v>
      </c>
      <c r="W170" s="3">
        <v>0</v>
      </c>
      <c r="X170" s="3">
        <v>3.28</v>
      </c>
      <c r="AA170" t="s">
        <v>51</v>
      </c>
      <c r="AB170" s="3">
        <v>435630</v>
      </c>
      <c r="AC170" s="3">
        <v>31568.86</v>
      </c>
      <c r="AD170" s="3">
        <v>28673.29074</v>
      </c>
      <c r="AE170" s="3">
        <v>2895.5692600000002</v>
      </c>
      <c r="AF170" s="3">
        <v>10.098489518542092</v>
      </c>
      <c r="AG170" s="3">
        <v>9.1722325734917263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s="3">
        <v>15582.740000000005</v>
      </c>
      <c r="AO170" s="3">
        <v>373985.63999999984</v>
      </c>
      <c r="AP170" s="3">
        <v>321743.05000000005</v>
      </c>
      <c r="AQ170" s="3">
        <v>52242.589999999793</v>
      </c>
      <c r="AR170" s="3">
        <v>16.237363946167534</v>
      </c>
      <c r="AS170" s="3">
        <v>13.969143307213564</v>
      </c>
      <c r="AT170" s="3">
        <v>382.8</v>
      </c>
      <c r="AU170" s="3">
        <v>10527</v>
      </c>
      <c r="AV170" s="3">
        <v>0</v>
      </c>
      <c r="AW170" s="3">
        <v>10527</v>
      </c>
      <c r="AX170" s="3">
        <v>0</v>
      </c>
      <c r="AY170" s="3">
        <v>100</v>
      </c>
    </row>
    <row r="171" spans="1:51" x14ac:dyDescent="0.2">
      <c r="A171">
        <v>170</v>
      </c>
      <c r="B171" s="4">
        <v>46192</v>
      </c>
      <c r="C171" s="3"/>
      <c r="D171" s="3"/>
      <c r="E171" s="3">
        <v>2601.7600000000002</v>
      </c>
      <c r="F171" s="3">
        <v>389498.02479999996</v>
      </c>
      <c r="G171" s="3">
        <v>9</v>
      </c>
      <c r="H171" s="3">
        <v>25800</v>
      </c>
      <c r="I171" s="3">
        <v>287120</v>
      </c>
      <c r="J171" s="3">
        <v>58</v>
      </c>
      <c r="K171" s="3">
        <v>87910</v>
      </c>
      <c r="L171" s="3">
        <v>265944</v>
      </c>
      <c r="M171" s="3">
        <v>14</v>
      </c>
      <c r="N171" s="3">
        <v>17460</v>
      </c>
      <c r="O171" s="3">
        <v>57935</v>
      </c>
      <c r="P171" s="3">
        <v>255</v>
      </c>
      <c r="Q171" s="3">
        <v>10</v>
      </c>
      <c r="R171" s="3">
        <v>50252</v>
      </c>
      <c r="S171" s="3">
        <v>160</v>
      </c>
      <c r="T171" s="3">
        <v>306280</v>
      </c>
      <c r="U171" s="3">
        <v>31526</v>
      </c>
      <c r="V171" s="3">
        <v>0</v>
      </c>
      <c r="W171" s="3">
        <v>0</v>
      </c>
      <c r="X171" s="3">
        <v>11.74</v>
      </c>
      <c r="AA171" t="s">
        <v>51</v>
      </c>
      <c r="AB171" s="3">
        <v>1656320</v>
      </c>
      <c r="AC171" s="3">
        <v>343275.38</v>
      </c>
      <c r="AD171" s="3">
        <v>208241.79051999998</v>
      </c>
      <c r="AE171" s="3">
        <v>135033.58948000002</v>
      </c>
      <c r="AF171" s="3">
        <v>64.844616031589069</v>
      </c>
      <c r="AG171" s="3">
        <v>39.336811594236679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5</v>
      </c>
      <c r="AU171" s="3">
        <v>3000</v>
      </c>
      <c r="AV171" s="3">
        <v>0</v>
      </c>
      <c r="AW171" s="3">
        <v>3000</v>
      </c>
      <c r="AX171" s="3">
        <v>0</v>
      </c>
      <c r="AY171" s="3">
        <v>100</v>
      </c>
    </row>
    <row r="172" spans="1:51" x14ac:dyDescent="0.2">
      <c r="A172">
        <v>171</v>
      </c>
      <c r="B172" s="4">
        <v>46193</v>
      </c>
      <c r="C172" s="3">
        <v>2550</v>
      </c>
      <c r="D172" s="3">
        <v>0</v>
      </c>
      <c r="E172" s="3">
        <v>3876.2799999999997</v>
      </c>
      <c r="F172" s="3">
        <v>151585.3224</v>
      </c>
      <c r="G172" s="3">
        <v>6</v>
      </c>
      <c r="H172" s="3">
        <v>23750</v>
      </c>
      <c r="I172" s="3">
        <v>247026</v>
      </c>
      <c r="J172" s="3">
        <v>79</v>
      </c>
      <c r="K172" s="3">
        <v>101830</v>
      </c>
      <c r="L172" s="3">
        <v>240253</v>
      </c>
      <c r="M172" s="3">
        <v>13</v>
      </c>
      <c r="N172" s="3">
        <v>16830</v>
      </c>
      <c r="O172" s="3">
        <v>43369</v>
      </c>
      <c r="P172" s="3">
        <v>250</v>
      </c>
      <c r="Q172" s="3">
        <v>13</v>
      </c>
      <c r="R172" s="3">
        <v>46191</v>
      </c>
      <c r="S172" s="3">
        <v>180</v>
      </c>
      <c r="T172" s="3">
        <v>428680</v>
      </c>
      <c r="U172" s="3">
        <v>39928</v>
      </c>
      <c r="V172" s="3">
        <v>0</v>
      </c>
      <c r="W172" s="3">
        <v>0</v>
      </c>
      <c r="X172" s="3">
        <v>7.19</v>
      </c>
      <c r="AA172" t="s">
        <v>51</v>
      </c>
      <c r="AB172" s="3">
        <v>158540</v>
      </c>
      <c r="AC172" s="3">
        <v>32994.68</v>
      </c>
      <c r="AD172" s="3">
        <v>19951.145699999997</v>
      </c>
      <c r="AE172" s="3">
        <v>13043.534300000003</v>
      </c>
      <c r="AF172" s="3">
        <v>65.37736978182663</v>
      </c>
      <c r="AG172" s="3">
        <v>39.532234590546125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s="3">
        <v>11681.029999999997</v>
      </c>
      <c r="AO172" s="3">
        <v>267660.31999999995</v>
      </c>
      <c r="AP172" s="3">
        <v>233056.26000000004</v>
      </c>
      <c r="AQ172" s="3">
        <v>34604.05999999991</v>
      </c>
      <c r="AR172" s="3">
        <v>14.847942724215994</v>
      </c>
      <c r="AS172" s="3">
        <v>12.928348886379542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</row>
    <row r="173" spans="1:51" x14ac:dyDescent="0.2">
      <c r="A173">
        <v>172</v>
      </c>
      <c r="B173" s="4">
        <v>46194</v>
      </c>
      <c r="C173" s="3"/>
      <c r="D173" s="3"/>
      <c r="E173" s="3">
        <v>0</v>
      </c>
      <c r="F173" s="3">
        <v>0</v>
      </c>
      <c r="G173" s="3"/>
      <c r="H173" s="3"/>
      <c r="I173" s="3"/>
      <c r="J173" s="3"/>
      <c r="K173" s="3"/>
      <c r="L173" s="3"/>
      <c r="M173" s="3">
        <v>14</v>
      </c>
      <c r="N173" s="3">
        <v>17340</v>
      </c>
      <c r="O173" s="3">
        <v>49941</v>
      </c>
      <c r="P173" s="3">
        <v>430</v>
      </c>
      <c r="Q173" s="3">
        <v>7</v>
      </c>
      <c r="R173" s="3">
        <v>33949</v>
      </c>
      <c r="S173" s="3">
        <v>229</v>
      </c>
      <c r="T173" s="3">
        <v>515960</v>
      </c>
      <c r="U173" s="3">
        <v>63213</v>
      </c>
      <c r="V173" s="3">
        <v>7954</v>
      </c>
      <c r="W173" s="3">
        <v>1.32</v>
      </c>
      <c r="X173" s="3">
        <v>12.37</v>
      </c>
      <c r="AA173" t="s">
        <v>51</v>
      </c>
      <c r="AB173" s="3">
        <v>498660</v>
      </c>
      <c r="AC173" s="3">
        <v>36624.42</v>
      </c>
      <c r="AD173" s="3">
        <v>26129.535</v>
      </c>
      <c r="AE173" s="3">
        <v>10494.884999999998</v>
      </c>
      <c r="AF173" s="3">
        <v>40.164836458054069</v>
      </c>
      <c r="AG173" s="3">
        <v>28.655429901688546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672</v>
      </c>
      <c r="AU173" s="3">
        <v>21504</v>
      </c>
      <c r="AV173" s="3">
        <v>0</v>
      </c>
      <c r="AW173" s="3">
        <v>21504</v>
      </c>
      <c r="AX173" s="3">
        <v>0</v>
      </c>
      <c r="AY173" s="3">
        <v>100</v>
      </c>
    </row>
    <row r="174" spans="1:51" x14ac:dyDescent="0.2">
      <c r="A174">
        <v>173</v>
      </c>
      <c r="B174" s="4">
        <v>46195</v>
      </c>
      <c r="C174" s="3"/>
      <c r="D174" s="3"/>
      <c r="E174" s="3">
        <v>14</v>
      </c>
      <c r="F174" s="3">
        <v>5427</v>
      </c>
      <c r="G174" s="3"/>
      <c r="H174" s="3"/>
      <c r="I174" s="3"/>
      <c r="J174" s="3"/>
      <c r="K174" s="3"/>
      <c r="L174" s="3"/>
      <c r="M174" s="3">
        <v>2</v>
      </c>
      <c r="N174" s="3">
        <v>2530</v>
      </c>
      <c r="O174" s="3">
        <v>9047</v>
      </c>
      <c r="P174" s="3">
        <v>60</v>
      </c>
      <c r="Q174" s="3">
        <v>2</v>
      </c>
      <c r="R174" s="3">
        <v>6075</v>
      </c>
      <c r="S174" s="3"/>
      <c r="T174" s="3"/>
      <c r="U174" s="3"/>
      <c r="V174" s="3">
        <v>0</v>
      </c>
      <c r="W174" s="3">
        <v>0</v>
      </c>
      <c r="X174" s="3">
        <v>0</v>
      </c>
      <c r="AA174" t="s">
        <v>51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s="3">
        <v>1450.3500000000001</v>
      </c>
      <c r="AO174" s="3">
        <v>49311.899999999994</v>
      </c>
      <c r="AP174" s="3">
        <v>39801.81</v>
      </c>
      <c r="AQ174" s="3">
        <v>9510.0899999999965</v>
      </c>
      <c r="AR174" s="3">
        <v>23.893611873429869</v>
      </c>
      <c r="AS174" s="3">
        <v>19.285588265712732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</row>
    <row r="175" spans="1:51" x14ac:dyDescent="0.2">
      <c r="A175">
        <v>174</v>
      </c>
      <c r="B175" s="4">
        <v>46196</v>
      </c>
      <c r="C175" s="3">
        <v>7651</v>
      </c>
      <c r="D175" s="3">
        <v>709859.78</v>
      </c>
      <c r="E175" s="3">
        <v>2191.3000000000002</v>
      </c>
      <c r="F175" s="3">
        <v>250987.63399999999</v>
      </c>
      <c r="G175" s="3">
        <v>7</v>
      </c>
      <c r="H175" s="3">
        <v>25450</v>
      </c>
      <c r="I175" s="3">
        <v>262644</v>
      </c>
      <c r="J175" s="3">
        <v>83</v>
      </c>
      <c r="K175" s="3">
        <v>102635</v>
      </c>
      <c r="L175" s="3">
        <v>312564</v>
      </c>
      <c r="M175" s="3">
        <v>5</v>
      </c>
      <c r="N175" s="3">
        <v>9990</v>
      </c>
      <c r="O175" s="3">
        <v>15086</v>
      </c>
      <c r="P175" s="3">
        <v>410</v>
      </c>
      <c r="Q175" s="3">
        <v>19</v>
      </c>
      <c r="R175" s="3">
        <v>80557</v>
      </c>
      <c r="S175" s="3">
        <v>402</v>
      </c>
      <c r="T175" s="3">
        <v>644470</v>
      </c>
      <c r="U175" s="3">
        <v>62824</v>
      </c>
      <c r="V175" s="3">
        <v>16510</v>
      </c>
      <c r="W175" s="3">
        <v>2.37</v>
      </c>
      <c r="X175" s="3">
        <v>5.0599999999999996</v>
      </c>
      <c r="AA175" t="s">
        <v>51</v>
      </c>
      <c r="AB175" s="3">
        <v>55460</v>
      </c>
      <c r="AC175" s="3">
        <v>17913.900000000001</v>
      </c>
      <c r="AD175" s="3">
        <v>9473.0125200000002</v>
      </c>
      <c r="AE175" s="3">
        <v>8440.8874800000012</v>
      </c>
      <c r="AF175" s="3">
        <v>89.104574307054762</v>
      </c>
      <c r="AG175" s="3">
        <v>47.119206203004374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s="3">
        <v>7040.8399999999992</v>
      </c>
      <c r="AO175" s="3">
        <v>176480.63999999998</v>
      </c>
      <c r="AP175" s="3">
        <v>149001.44000000003</v>
      </c>
      <c r="AQ175" s="3">
        <v>27479.199999999953</v>
      </c>
      <c r="AR175" s="3">
        <v>18.442237873674205</v>
      </c>
      <c r="AS175" s="3">
        <v>15.570659761886604</v>
      </c>
      <c r="AT175" s="3">
        <v>2</v>
      </c>
      <c r="AU175" s="3">
        <v>1400</v>
      </c>
      <c r="AV175" s="3">
        <v>0</v>
      </c>
      <c r="AW175" s="3">
        <v>1400</v>
      </c>
      <c r="AX175" s="3">
        <v>0</v>
      </c>
      <c r="AY175" s="3">
        <v>100</v>
      </c>
    </row>
    <row r="176" spans="1:51" x14ac:dyDescent="0.2">
      <c r="A176">
        <v>175</v>
      </c>
      <c r="B176" s="4">
        <v>46197</v>
      </c>
      <c r="C176" s="3">
        <v>44260</v>
      </c>
      <c r="D176" s="3">
        <v>132107.17000000001</v>
      </c>
      <c r="E176" s="3">
        <v>47051.06</v>
      </c>
      <c r="F176" s="3">
        <v>614646.93479999993</v>
      </c>
      <c r="G176" s="3">
        <v>8</v>
      </c>
      <c r="H176" s="3">
        <v>26300</v>
      </c>
      <c r="I176" s="3">
        <v>276798</v>
      </c>
      <c r="J176" s="3">
        <v>38</v>
      </c>
      <c r="K176" s="3">
        <v>59060</v>
      </c>
      <c r="L176" s="3">
        <v>149945</v>
      </c>
      <c r="M176" s="3">
        <v>7</v>
      </c>
      <c r="N176" s="3">
        <v>8905</v>
      </c>
      <c r="O176" s="3">
        <v>16634</v>
      </c>
      <c r="P176" s="3">
        <v>100</v>
      </c>
      <c r="Q176" s="3">
        <v>17</v>
      </c>
      <c r="R176" s="3">
        <v>57707</v>
      </c>
      <c r="S176" s="3">
        <v>681</v>
      </c>
      <c r="T176" s="3">
        <v>1062555</v>
      </c>
      <c r="U176" s="3">
        <v>78700</v>
      </c>
      <c r="V176" s="3">
        <v>100392</v>
      </c>
      <c r="W176" s="3">
        <v>8.56</v>
      </c>
      <c r="X176" s="3">
        <v>0.91</v>
      </c>
      <c r="AA176" t="s">
        <v>51</v>
      </c>
      <c r="AB176" s="3">
        <v>1231200</v>
      </c>
      <c r="AC176" s="3">
        <v>84580</v>
      </c>
      <c r="AD176" s="3">
        <v>127898.34760000001</v>
      </c>
      <c r="AE176" s="3">
        <v>-43318.347600000008</v>
      </c>
      <c r="AF176" s="3">
        <v>0</v>
      </c>
      <c r="AG176" s="3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s="3">
        <v>2240.5799999999995</v>
      </c>
      <c r="AO176" s="3">
        <v>59370.720000000008</v>
      </c>
      <c r="AP176" s="3">
        <v>48868.079999999994</v>
      </c>
      <c r="AQ176" s="3">
        <v>10502.640000000014</v>
      </c>
      <c r="AR176" s="3">
        <v>21.491820427567472</v>
      </c>
      <c r="AS176" s="3">
        <v>17.689932006888263</v>
      </c>
      <c r="AT176" s="3">
        <v>4726.42</v>
      </c>
      <c r="AU176" s="3">
        <v>108707.66</v>
      </c>
      <c r="AV176" s="3">
        <v>0</v>
      </c>
      <c r="AW176" s="3">
        <v>108707.66</v>
      </c>
      <c r="AX176" s="3">
        <v>0</v>
      </c>
      <c r="AY176" s="3">
        <v>100</v>
      </c>
    </row>
    <row r="177" spans="1:51" x14ac:dyDescent="0.2">
      <c r="A177">
        <v>176</v>
      </c>
      <c r="B177" s="4">
        <v>46198</v>
      </c>
      <c r="C177" s="3">
        <v>290</v>
      </c>
      <c r="D177" s="3">
        <v>104010</v>
      </c>
      <c r="E177" s="3">
        <v>1629.3400000000001</v>
      </c>
      <c r="F177" s="3">
        <v>186664.67720000001</v>
      </c>
      <c r="G177" s="3">
        <v>9</v>
      </c>
      <c r="H177" s="3">
        <v>26400</v>
      </c>
      <c r="I177" s="3">
        <v>281952</v>
      </c>
      <c r="J177" s="3">
        <v>74</v>
      </c>
      <c r="K177" s="3">
        <v>101745</v>
      </c>
      <c r="L177" s="3">
        <v>343475</v>
      </c>
      <c r="M177" s="3">
        <v>21</v>
      </c>
      <c r="N177" s="3">
        <v>27755</v>
      </c>
      <c r="O177" s="3">
        <v>77233</v>
      </c>
      <c r="P177" s="3">
        <v>175</v>
      </c>
      <c r="Q177" s="3">
        <v>6</v>
      </c>
      <c r="R177" s="3">
        <v>21664</v>
      </c>
      <c r="S177" s="3">
        <v>464</v>
      </c>
      <c r="T177" s="3">
        <v>1026385</v>
      </c>
      <c r="U177" s="3">
        <v>79387</v>
      </c>
      <c r="V177" s="3">
        <v>111115</v>
      </c>
      <c r="W177" s="3">
        <v>9.16</v>
      </c>
      <c r="X177" s="3">
        <v>2.0499999999999998</v>
      </c>
      <c r="AA177" t="s">
        <v>51</v>
      </c>
      <c r="AB177" s="3">
        <v>1302780</v>
      </c>
      <c r="AC177" s="3">
        <v>109648.06</v>
      </c>
      <c r="AD177" s="3">
        <v>93193.035889999999</v>
      </c>
      <c r="AE177" s="3">
        <v>16455.024109999998</v>
      </c>
      <c r="AF177" s="3">
        <v>17.656924632676006</v>
      </c>
      <c r="AG177" s="3">
        <v>15.007127449404942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s="3">
        <v>12975.08</v>
      </c>
      <c r="AO177" s="3">
        <v>311401.8</v>
      </c>
      <c r="AP177" s="3">
        <v>267259.78500000003</v>
      </c>
      <c r="AQ177" s="3">
        <v>44142.014999999956</v>
      </c>
      <c r="AR177" s="3">
        <v>16.51651968514453</v>
      </c>
      <c r="AS177" s="3">
        <v>14.175260065934095</v>
      </c>
      <c r="AT177" s="3">
        <v>1515.42</v>
      </c>
      <c r="AU177" s="3">
        <v>40151.160000000003</v>
      </c>
      <c r="AV177" s="3">
        <v>0</v>
      </c>
      <c r="AW177" s="3">
        <v>40151.160000000003</v>
      </c>
      <c r="AX177" s="3">
        <v>0</v>
      </c>
      <c r="AY177" s="3">
        <v>100</v>
      </c>
    </row>
    <row r="178" spans="1:51" x14ac:dyDescent="0.2">
      <c r="A178">
        <v>177</v>
      </c>
      <c r="B178" s="4">
        <v>46199</v>
      </c>
      <c r="C178" s="3">
        <v>75892.600000000006</v>
      </c>
      <c r="D178" s="3">
        <v>470085.9</v>
      </c>
      <c r="E178" s="3">
        <v>80900.12000000001</v>
      </c>
      <c r="F178" s="3">
        <v>978705.0395999999</v>
      </c>
      <c r="G178" s="3">
        <v>6</v>
      </c>
      <c r="H178" s="3">
        <v>27350</v>
      </c>
      <c r="I178" s="3">
        <v>292098</v>
      </c>
      <c r="J178" s="3">
        <v>92</v>
      </c>
      <c r="K178" s="3">
        <v>138910</v>
      </c>
      <c r="L178" s="3">
        <v>393232</v>
      </c>
      <c r="M178" s="3">
        <v>9</v>
      </c>
      <c r="N178" s="3">
        <v>14575</v>
      </c>
      <c r="O178" s="3">
        <v>47931</v>
      </c>
      <c r="P178" s="3">
        <v>30</v>
      </c>
      <c r="Q178" s="3">
        <v>9</v>
      </c>
      <c r="R178" s="3">
        <v>38114</v>
      </c>
      <c r="S178" s="3">
        <v>534</v>
      </c>
      <c r="T178" s="3">
        <v>786810</v>
      </c>
      <c r="U178" s="3">
        <v>74134</v>
      </c>
      <c r="V178" s="3">
        <v>4464</v>
      </c>
      <c r="W178" s="3">
        <v>0.54</v>
      </c>
      <c r="X178" s="3">
        <v>0.74</v>
      </c>
      <c r="AA178" t="s">
        <v>51</v>
      </c>
      <c r="AB178" s="3">
        <v>902875</v>
      </c>
      <c r="AC178" s="3">
        <v>158458.75</v>
      </c>
      <c r="AD178" s="3">
        <v>81973.517089999994</v>
      </c>
      <c r="AE178" s="3">
        <v>76485.232910000006</v>
      </c>
      <c r="AF178" s="3">
        <v>93.304808217543822</v>
      </c>
      <c r="AG178" s="3">
        <v>48.268229371997442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s="3">
        <v>5947.670000000001</v>
      </c>
      <c r="AO178" s="3">
        <v>139769.79</v>
      </c>
      <c r="AP178" s="3">
        <v>118790.65499999997</v>
      </c>
      <c r="AQ178" s="3">
        <v>20979.135000000038</v>
      </c>
      <c r="AR178" s="3">
        <v>17.660593756301825</v>
      </c>
      <c r="AS178" s="3">
        <v>15.009777864014847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</row>
    <row r="179" spans="1:51" x14ac:dyDescent="0.2">
      <c r="A179">
        <v>178</v>
      </c>
      <c r="B179" s="4">
        <v>46200</v>
      </c>
      <c r="C179" s="3">
        <v>11800</v>
      </c>
      <c r="D179" s="3">
        <v>28965.759999999998</v>
      </c>
      <c r="E179" s="3">
        <v>13368.1</v>
      </c>
      <c r="F179" s="3">
        <v>313444.20000000007</v>
      </c>
      <c r="G179" s="3">
        <v>5</v>
      </c>
      <c r="H179" s="3">
        <v>18350</v>
      </c>
      <c r="I179" s="3">
        <v>228090</v>
      </c>
      <c r="J179" s="3">
        <v>6</v>
      </c>
      <c r="K179" s="3">
        <v>11800</v>
      </c>
      <c r="L179" s="3">
        <v>28968</v>
      </c>
      <c r="M179" s="3">
        <v>10</v>
      </c>
      <c r="N179" s="3">
        <v>13730</v>
      </c>
      <c r="O179" s="3">
        <v>22599</v>
      </c>
      <c r="P179" s="3">
        <v>350</v>
      </c>
      <c r="Q179" s="3">
        <v>6</v>
      </c>
      <c r="R179" s="3">
        <v>19159</v>
      </c>
      <c r="S179" s="3">
        <v>502</v>
      </c>
      <c r="T179" s="3">
        <v>963020</v>
      </c>
      <c r="U179" s="3">
        <v>63075</v>
      </c>
      <c r="V179" s="3">
        <v>91924</v>
      </c>
      <c r="W179" s="3">
        <v>7.15</v>
      </c>
      <c r="X179" s="3">
        <v>0.36</v>
      </c>
      <c r="AA179" t="s">
        <v>51</v>
      </c>
      <c r="AB179" s="3">
        <v>291940</v>
      </c>
      <c r="AC179" s="3">
        <v>52199.000000000007</v>
      </c>
      <c r="AD179" s="3">
        <v>30188.00578</v>
      </c>
      <c r="AE179" s="3">
        <v>22010.994220000008</v>
      </c>
      <c r="AF179" s="3">
        <v>72.913044937147248</v>
      </c>
      <c r="AG179" s="3">
        <v>42.167463399681992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 s="3">
        <v>7699.53</v>
      </c>
      <c r="AO179" s="3">
        <v>190946.25</v>
      </c>
      <c r="AP179" s="3">
        <v>162343.44499999998</v>
      </c>
      <c r="AQ179" s="3">
        <v>28602.805000000022</v>
      </c>
      <c r="AR179" s="3">
        <v>17.618700280753576</v>
      </c>
      <c r="AS179" s="3">
        <v>14.979506012817756</v>
      </c>
      <c r="AT179" s="3">
        <v>941</v>
      </c>
      <c r="AU179" s="3">
        <v>27000</v>
      </c>
      <c r="AV179" s="3">
        <v>0</v>
      </c>
      <c r="AW179" s="3">
        <v>27000</v>
      </c>
      <c r="AX179" s="3">
        <v>0</v>
      </c>
      <c r="AY179" s="3">
        <v>100</v>
      </c>
    </row>
    <row r="180" spans="1:51" x14ac:dyDescent="0.2">
      <c r="A180">
        <v>179</v>
      </c>
      <c r="B180" s="4">
        <v>46201</v>
      </c>
      <c r="C180" s="3"/>
      <c r="D180" s="3"/>
      <c r="E180" s="3">
        <v>0</v>
      </c>
      <c r="F180" s="3">
        <v>0</v>
      </c>
      <c r="G180" s="3"/>
      <c r="H180" s="3"/>
      <c r="I180" s="3"/>
      <c r="J180" s="3">
        <v>4</v>
      </c>
      <c r="K180" s="3">
        <v>5080</v>
      </c>
      <c r="L180" s="3">
        <v>13350</v>
      </c>
      <c r="M180" s="3">
        <v>10</v>
      </c>
      <c r="N180" s="3">
        <v>16410</v>
      </c>
      <c r="O180" s="3">
        <v>34730</v>
      </c>
      <c r="P180" s="3">
        <v>110</v>
      </c>
      <c r="Q180" s="3">
        <v>14</v>
      </c>
      <c r="R180" s="3">
        <v>25115</v>
      </c>
      <c r="S180" s="3">
        <v>246</v>
      </c>
      <c r="T180" s="3">
        <v>894520</v>
      </c>
      <c r="U180" s="3">
        <v>51627</v>
      </c>
      <c r="V180" s="3">
        <v>16576</v>
      </c>
      <c r="W180" s="3">
        <v>1.67</v>
      </c>
      <c r="X180" s="3">
        <v>5.17</v>
      </c>
      <c r="AA180" t="s">
        <v>51</v>
      </c>
      <c r="AB180" s="3">
        <v>1005420</v>
      </c>
      <c r="AC180" s="3">
        <v>177261.68</v>
      </c>
      <c r="AD180" s="3">
        <v>101932.52103999998</v>
      </c>
      <c r="AE180" s="3">
        <v>75329.158960000015</v>
      </c>
      <c r="AF180" s="3">
        <v>73.901006461362442</v>
      </c>
      <c r="AG180" s="3">
        <v>42.496019985819842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</row>
    <row r="181" spans="1:51" x14ac:dyDescent="0.2">
      <c r="A181">
        <v>180</v>
      </c>
      <c r="B181" s="4">
        <v>46202</v>
      </c>
      <c r="C181" s="3"/>
      <c r="D181" s="3"/>
      <c r="E181" s="3">
        <v>0</v>
      </c>
      <c r="F181" s="3">
        <v>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>
        <v>0</v>
      </c>
      <c r="W181" s="3">
        <v>0</v>
      </c>
      <c r="X181" s="3">
        <v>0</v>
      </c>
      <c r="AA181" t="s">
        <v>51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</row>
    <row r="182" spans="1:51" x14ac:dyDescent="0.2">
      <c r="A182">
        <v>181</v>
      </c>
      <c r="B182" s="4">
        <v>46203</v>
      </c>
      <c r="C182" s="3">
        <v>58765</v>
      </c>
      <c r="D182" s="3">
        <v>223890.94</v>
      </c>
      <c r="E182" s="3">
        <v>60678.920000000006</v>
      </c>
      <c r="F182" s="3">
        <v>597713.72000000009</v>
      </c>
      <c r="G182" s="3">
        <v>6</v>
      </c>
      <c r="H182" s="3">
        <v>20890</v>
      </c>
      <c r="I182" s="3">
        <v>41345</v>
      </c>
      <c r="J182" s="3">
        <v>75</v>
      </c>
      <c r="K182" s="3">
        <v>132105</v>
      </c>
      <c r="L182" s="3">
        <v>418257</v>
      </c>
      <c r="M182" s="3">
        <v>10</v>
      </c>
      <c r="N182" s="3">
        <v>15390</v>
      </c>
      <c r="O182" s="3">
        <v>55606</v>
      </c>
      <c r="P182" s="3">
        <v>0</v>
      </c>
      <c r="Q182" s="3">
        <v>9</v>
      </c>
      <c r="R182" s="3">
        <v>17596</v>
      </c>
      <c r="S182" s="3">
        <v>229</v>
      </c>
      <c r="T182" s="3">
        <v>441815</v>
      </c>
      <c r="U182" s="3">
        <v>23259</v>
      </c>
      <c r="V182" s="3">
        <v>40443</v>
      </c>
      <c r="W182" s="3">
        <v>6.34</v>
      </c>
      <c r="X182" s="3">
        <v>0</v>
      </c>
      <c r="AA182" t="s">
        <v>51</v>
      </c>
      <c r="AB182" s="3">
        <v>508580</v>
      </c>
      <c r="AC182" s="3">
        <v>36402.409999999996</v>
      </c>
      <c r="AD182" s="3">
        <v>32491.216119999997</v>
      </c>
      <c r="AE182" s="3">
        <v>3911.1938799999989</v>
      </c>
      <c r="AF182" s="3">
        <v>12.037696174728467</v>
      </c>
      <c r="AG182" s="3">
        <v>10.744326762980801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s="3">
        <v>8017.04</v>
      </c>
      <c r="AO182" s="3">
        <v>275219.26</v>
      </c>
      <c r="AP182" s="3">
        <v>203211.4899999999</v>
      </c>
      <c r="AQ182" s="3">
        <v>72007.770000000106</v>
      </c>
      <c r="AR182" s="3">
        <v>35.434891009361792</v>
      </c>
      <c r="AS182" s="3">
        <v>26.16378301431379</v>
      </c>
      <c r="AT182" s="3">
        <v>1734</v>
      </c>
      <c r="AU182" s="3">
        <v>29179</v>
      </c>
      <c r="AV182" s="3">
        <v>0</v>
      </c>
      <c r="AW182" s="3">
        <v>29179</v>
      </c>
      <c r="AX182" s="3">
        <v>0</v>
      </c>
      <c r="AY182" s="3">
        <v>100</v>
      </c>
    </row>
    <row r="183" spans="1:51" x14ac:dyDescent="0.2">
      <c r="A183">
        <v>182</v>
      </c>
      <c r="B183" s="4">
        <v>46204</v>
      </c>
      <c r="C183" s="3"/>
      <c r="D183" s="3"/>
      <c r="E183" s="3">
        <v>1046.5</v>
      </c>
      <c r="F183" s="3">
        <v>230199.13</v>
      </c>
      <c r="G183" s="3">
        <v>4</v>
      </c>
      <c r="H183" s="3">
        <v>16200</v>
      </c>
      <c r="I183" s="3">
        <v>0</v>
      </c>
      <c r="J183" s="3">
        <v>33</v>
      </c>
      <c r="K183" s="3">
        <v>48200</v>
      </c>
      <c r="L183" s="3">
        <v>83169</v>
      </c>
      <c r="M183" s="3">
        <v>11</v>
      </c>
      <c r="N183" s="3">
        <v>16290</v>
      </c>
      <c r="O183" s="3">
        <v>48997</v>
      </c>
      <c r="P183" s="3">
        <v>60</v>
      </c>
      <c r="Q183" s="3">
        <v>13</v>
      </c>
      <c r="R183" s="3">
        <v>28588</v>
      </c>
      <c r="S183" s="3">
        <v>429</v>
      </c>
      <c r="T183" s="3">
        <v>787245</v>
      </c>
      <c r="U183" s="3">
        <v>42277</v>
      </c>
      <c r="V183" s="3">
        <v>125606</v>
      </c>
      <c r="W183" s="3">
        <v>13.07</v>
      </c>
      <c r="X183" s="3">
        <v>0</v>
      </c>
      <c r="AA183" t="s">
        <v>51</v>
      </c>
      <c r="AB183" s="3">
        <v>1399450</v>
      </c>
      <c r="AC183" s="3">
        <v>125966.72</v>
      </c>
      <c r="AD183" s="3">
        <v>87690.098839999991</v>
      </c>
      <c r="AE183" s="3">
        <v>38276.62116000001</v>
      </c>
      <c r="AF183" s="3">
        <v>43.649877998016422</v>
      </c>
      <c r="AG183" s="3">
        <v>30.386296602785251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s="3">
        <v>3060.5600000000004</v>
      </c>
      <c r="AO183" s="3">
        <v>72958.44</v>
      </c>
      <c r="AP183" s="3">
        <v>62943.880000000012</v>
      </c>
      <c r="AQ183" s="3">
        <v>10014.55999999999</v>
      </c>
      <c r="AR183" s="3">
        <v>15.910299778151568</v>
      </c>
      <c r="AS183" s="3">
        <v>13.726389983119144</v>
      </c>
      <c r="AT183" s="3">
        <v>2267.4499999999998</v>
      </c>
      <c r="AU183" s="3">
        <v>81139.87</v>
      </c>
      <c r="AV183" s="3">
        <v>0</v>
      </c>
      <c r="AW183" s="3">
        <v>81139.87</v>
      </c>
      <c r="AX183" s="3">
        <v>0</v>
      </c>
      <c r="AY183" s="3">
        <v>100</v>
      </c>
    </row>
    <row r="184" spans="1:51" x14ac:dyDescent="0.2">
      <c r="A184">
        <v>183</v>
      </c>
      <c r="B184" s="4">
        <v>46205</v>
      </c>
      <c r="C184" s="3">
        <v>17850</v>
      </c>
      <c r="D184" s="3">
        <v>46736.63</v>
      </c>
      <c r="E184" s="3">
        <v>12413.97</v>
      </c>
      <c r="F184" s="3">
        <v>311749.64260000002</v>
      </c>
      <c r="G184" s="3">
        <v>8</v>
      </c>
      <c r="H184" s="3">
        <v>26650</v>
      </c>
      <c r="I184" s="3">
        <v>0</v>
      </c>
      <c r="J184" s="3">
        <v>85</v>
      </c>
      <c r="K184" s="3">
        <v>98755</v>
      </c>
      <c r="L184" s="3">
        <v>34799</v>
      </c>
      <c r="M184" s="3">
        <v>3</v>
      </c>
      <c r="N184" s="3">
        <v>6180</v>
      </c>
      <c r="O184" s="3">
        <v>17005</v>
      </c>
      <c r="P184" s="3">
        <v>0</v>
      </c>
      <c r="Q184" s="3">
        <v>8</v>
      </c>
      <c r="R184" s="3">
        <v>50783</v>
      </c>
      <c r="S184" s="3">
        <v>492</v>
      </c>
      <c r="T184" s="3">
        <v>1531220</v>
      </c>
      <c r="U184" s="3">
        <v>90478</v>
      </c>
      <c r="V184" s="3">
        <v>44284</v>
      </c>
      <c r="W184" s="3">
        <v>2.81</v>
      </c>
      <c r="X184" s="3">
        <v>0</v>
      </c>
      <c r="AA184" t="s">
        <v>51</v>
      </c>
      <c r="AB184" s="3">
        <v>848000</v>
      </c>
      <c r="AC184" s="3">
        <v>120872</v>
      </c>
      <c r="AD184" s="3">
        <v>61809.701750000007</v>
      </c>
      <c r="AE184" s="3">
        <v>59062.298249999993</v>
      </c>
      <c r="AF184" s="3">
        <v>95.555061062885628</v>
      </c>
      <c r="AG184" s="3">
        <v>48.863507057052082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16</v>
      </c>
      <c r="AU184" s="3">
        <v>13450</v>
      </c>
      <c r="AV184" s="3">
        <v>0</v>
      </c>
      <c r="AW184" s="3">
        <v>13450</v>
      </c>
      <c r="AX184" s="3">
        <v>0</v>
      </c>
      <c r="AY184" s="3">
        <v>100</v>
      </c>
    </row>
    <row r="185" spans="1:51" x14ac:dyDescent="0.2">
      <c r="A185">
        <v>184</v>
      </c>
      <c r="B185" s="4">
        <v>46206</v>
      </c>
      <c r="C185" s="3"/>
      <c r="D185" s="3"/>
      <c r="E185" s="3">
        <v>9079.3700000000008</v>
      </c>
      <c r="F185" s="3">
        <v>145799.96460000001</v>
      </c>
      <c r="G185" s="3">
        <v>6</v>
      </c>
      <c r="H185" s="3">
        <v>23300</v>
      </c>
      <c r="I185" s="3">
        <v>200566</v>
      </c>
      <c r="J185" s="3">
        <v>73</v>
      </c>
      <c r="K185" s="3">
        <v>116095</v>
      </c>
      <c r="L185" s="3">
        <v>372597</v>
      </c>
      <c r="M185" s="3">
        <v>11</v>
      </c>
      <c r="N185" s="3">
        <v>15560</v>
      </c>
      <c r="O185" s="3">
        <v>26778</v>
      </c>
      <c r="P185" s="3">
        <v>0</v>
      </c>
      <c r="Q185" s="3">
        <v>11</v>
      </c>
      <c r="R185" s="3">
        <v>22215</v>
      </c>
      <c r="S185" s="3">
        <v>340</v>
      </c>
      <c r="T185" s="3">
        <v>1118230</v>
      </c>
      <c r="U185" s="3">
        <v>79499</v>
      </c>
      <c r="V185" s="3">
        <v>45214</v>
      </c>
      <c r="W185" s="3">
        <v>3.85</v>
      </c>
      <c r="X185" s="3">
        <v>0</v>
      </c>
      <c r="AA185" t="s">
        <v>51</v>
      </c>
      <c r="AB185" s="3">
        <v>1688560</v>
      </c>
      <c r="AC185" s="3">
        <v>165780.24</v>
      </c>
      <c r="AD185" s="3">
        <v>86828.232610000006</v>
      </c>
      <c r="AE185" s="3">
        <v>78952.007389999999</v>
      </c>
      <c r="AF185" s="3">
        <v>90.928958262484699</v>
      </c>
      <c r="AG185" s="3">
        <v>47.624498185067203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s="3">
        <v>2113.65</v>
      </c>
      <c r="AO185" s="3">
        <v>50727.6</v>
      </c>
      <c r="AP185" s="3">
        <v>44010.165000000001</v>
      </c>
      <c r="AQ185" s="3">
        <v>6717.4350000000204</v>
      </c>
      <c r="AR185" s="3">
        <v>15.2633715415519</v>
      </c>
      <c r="AS185" s="3">
        <v>13.242169942989699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</row>
    <row r="186" spans="1:51" x14ac:dyDescent="0.2">
      <c r="A186">
        <v>185</v>
      </c>
      <c r="B186" s="4">
        <v>46207</v>
      </c>
      <c r="C186" s="3">
        <v>11640</v>
      </c>
      <c r="D186" s="3">
        <v>52612.800000000003</v>
      </c>
      <c r="E186" s="3">
        <v>12918</v>
      </c>
      <c r="F186" s="3">
        <v>186555.80000000005</v>
      </c>
      <c r="G186" s="3">
        <v>7</v>
      </c>
      <c r="H186" s="3">
        <v>22500</v>
      </c>
      <c r="I186" s="3">
        <v>0</v>
      </c>
      <c r="J186" s="3">
        <v>140</v>
      </c>
      <c r="K186" s="3">
        <v>166470</v>
      </c>
      <c r="L186" s="3">
        <v>280208</v>
      </c>
      <c r="M186" s="3">
        <v>7</v>
      </c>
      <c r="N186" s="3">
        <v>8660</v>
      </c>
      <c r="O186" s="3">
        <v>32686</v>
      </c>
      <c r="P186" s="3">
        <v>60</v>
      </c>
      <c r="Q186" s="3">
        <v>4</v>
      </c>
      <c r="R186" s="3">
        <v>16109</v>
      </c>
      <c r="S186" s="3">
        <v>262</v>
      </c>
      <c r="T186" s="3">
        <v>446980</v>
      </c>
      <c r="U186" s="3">
        <v>28767</v>
      </c>
      <c r="V186" s="3">
        <v>86337</v>
      </c>
      <c r="W186" s="3">
        <v>16.190000000000001</v>
      </c>
      <c r="X186" s="3">
        <v>0</v>
      </c>
      <c r="AA186" t="s">
        <v>51</v>
      </c>
      <c r="AB186" s="3">
        <v>837545</v>
      </c>
      <c r="AC186" s="3">
        <v>114196</v>
      </c>
      <c r="AD186" s="3">
        <v>67299.950029999993</v>
      </c>
      <c r="AE186" s="3">
        <v>46896.049970000007</v>
      </c>
      <c r="AF186" s="3">
        <v>69.682146790741101</v>
      </c>
      <c r="AG186" s="3">
        <v>41.066280754142007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s="3">
        <v>16850.47</v>
      </c>
      <c r="AO186" s="3">
        <v>387560.57000000007</v>
      </c>
      <c r="AP186" s="3">
        <v>341255.65500000009</v>
      </c>
      <c r="AQ186" s="3">
        <v>46304.914999999979</v>
      </c>
      <c r="AR186" s="3">
        <v>13.568981003406366</v>
      </c>
      <c r="AS186" s="3">
        <v>11.947787928993904</v>
      </c>
      <c r="AT186" s="3">
        <v>22</v>
      </c>
      <c r="AU186" s="3">
        <v>16700</v>
      </c>
      <c r="AV186" s="3">
        <v>0</v>
      </c>
      <c r="AW186" s="3">
        <v>16700</v>
      </c>
      <c r="AX186" s="3">
        <v>0</v>
      </c>
      <c r="AY186" s="3">
        <v>100</v>
      </c>
    </row>
    <row r="187" spans="1:51" s="5" customFormat="1" ht="31" customHeight="1" x14ac:dyDescent="0.2">
      <c r="A187" s="5" t="s">
        <v>63</v>
      </c>
      <c r="C187" s="5">
        <f>SUBTOTAL(109,Query[inwardqty])</f>
        <v>1518551.6199999999</v>
      </c>
      <c r="D187" s="5">
        <f>SUBTOTAL(109,Query[inwardamount])</f>
        <v>22995747.439999994</v>
      </c>
      <c r="E187" s="5">
        <f>SUBTOTAL(109,Query[outwardqty])</f>
        <v>1538605.4000000006</v>
      </c>
      <c r="F187" s="5">
        <f>SUBTOTAL(109,Query[outwardamount])</f>
        <v>23178234.160999991</v>
      </c>
      <c r="G187" s="5">
        <f>SUBTOTAL(109,Query[gummingroll])</f>
        <v>536</v>
      </c>
      <c r="H187" s="5">
        <f>SUBTOTAL(109,Query[gummingqty])</f>
        <v>1797600</v>
      </c>
      <c r="I187" s="5">
        <f>SUBTOTAL(109,Query[gummingamount])</f>
        <v>17681631</v>
      </c>
      <c r="J187" s="5">
        <f>SUBTOTAL(109,Query[slittingroll])</f>
        <v>5828</v>
      </c>
      <c r="K187" s="5">
        <f>SUBTOTAL(109,Query[slittingqty])</f>
        <v>7773348</v>
      </c>
      <c r="L187" s="5">
        <f>SUBTOTAL(109,Query[slittingamount])</f>
        <v>20574815</v>
      </c>
      <c r="M187" s="5">
        <f>SUBTOTAL(109,Query[colorroll])</f>
        <v>845</v>
      </c>
      <c r="N187" s="5">
        <f>SUBTOTAL(109,Query[colorqty])</f>
        <v>1233376</v>
      </c>
      <c r="O187" s="5">
        <f>SUBTOTAL(109,Query[coloramount])</f>
        <v>3435928</v>
      </c>
      <c r="P187" s="5">
        <f>SUBTOTAL(109,Query[colorwastage])</f>
        <v>15402</v>
      </c>
      <c r="Q187" s="5">
        <f>SUBTOTAL(109,Query[diepunchqty])</f>
        <v>1278</v>
      </c>
      <c r="R187" s="5">
        <f>SUBTOTAL(109,Query[diepunchamount])</f>
        <v>4211522</v>
      </c>
      <c r="S187" s="5">
        <f>SUBTOTAL(109,Query[readyrollroll])</f>
        <v>37140</v>
      </c>
      <c r="T187" s="5">
        <f>SUBTOTAL(109,Query[readyrollpcs])</f>
        <v>92207450</v>
      </c>
      <c r="U187" s="5">
        <f>SUBTOTAL(109,Query[readyrollamount])</f>
        <v>6572436</v>
      </c>
      <c r="V187" s="5">
        <f>SUBTOTAL(109,Query[readyrollwastage])</f>
        <v>747933</v>
      </c>
      <c r="W187" s="5">
        <f>SUBTOTAL(109,Query[readyrollwastageperpcs])</f>
        <v>95.88</v>
      </c>
      <c r="X187" s="5">
        <f>SUBTOTAL(109,Query[readyrollwastageperc])</f>
        <v>475.18999999999994</v>
      </c>
      <c r="AB187" s="5">
        <f>SUBTOTAL(109,Query[sls_labelqty])</f>
        <v>93745490</v>
      </c>
      <c r="AC187" s="5">
        <f>SUBTOTAL(109,Query[sls_labelamount])</f>
        <v>11553134.610000003</v>
      </c>
      <c r="AD187" s="5">
        <f>SUBTOTAL(109,Query[sls_labelmfgcost])</f>
        <v>6774235.3336950047</v>
      </c>
      <c r="AF187" s="5">
        <f>SUBTOTAL(109,Query[sls_labelperaspercost])</f>
        <v>6651.2870998967664</v>
      </c>
      <c r="AG187" s="5">
        <f>SUBTOTAL(109,Query[sls_labelperaspersales])</f>
        <v>3331.700865846803</v>
      </c>
      <c r="AN187" s="5">
        <f>SUBTOTAL(109,Query[sls_rollqty])</f>
        <v>671253.05</v>
      </c>
      <c r="AO187" s="5">
        <f>SUBTOTAL(109,Query[sls_rollamount])</f>
        <v>16352069.360000001</v>
      </c>
      <c r="AP187" s="5">
        <f>SUBTOTAL(109,Query[sls_rollmfgcost])</f>
        <v>13279871.963000001</v>
      </c>
      <c r="AQ187" s="5">
        <f>SUBTOTAL(109,Query[sls_rollprfls])</f>
        <v>3072197.3969999985</v>
      </c>
      <c r="AR187" s="5">
        <f>SUBTOTAL(109,Query[sls_rollperaspercost])</f>
        <v>1582.2026653460118</v>
      </c>
      <c r="AS187" s="5">
        <f>SUBTOTAL(109,Query[sls_rollperaspersales])</f>
        <v>1259.1768702019722</v>
      </c>
      <c r="AT187" s="5">
        <f>SUBTOTAL(109,Query[sls_dsalesqty])</f>
        <v>447096.57999999996</v>
      </c>
      <c r="AU187" s="5">
        <f>SUBTOTAL(109,Query[sls_dsalesamount])</f>
        <v>1839104.6599999997</v>
      </c>
      <c r="AW187" s="5">
        <f>SUBTOTAL(109,Query[sls_dsalesprfls])</f>
        <v>1482686.6599999997</v>
      </c>
      <c r="AY187" s="5">
        <f>SUBTOTAL(109,Query[sls_dsalesperaspersales])</f>
        <v>5671.7076925237398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8569-F50C-2C4C-AABC-3AA78B094BA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07974F-BFB4-4948-A099-D296E9FF2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mAdmin</dc:creator>
  <cp:lastModifiedBy>mAdmin</cp:lastModifiedBy>
  <dcterms:created xsi:type="dcterms:W3CDTF">2026-07-05T00:21:49Z</dcterms:created>
  <dcterms:modified xsi:type="dcterms:W3CDTF">2026-07-11T15:57:02Z</dcterms:modified>
</cp:coreProperties>
</file>